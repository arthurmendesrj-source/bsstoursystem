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fo\OneDrive\Escritorio\invoices\"/>
    </mc:Choice>
  </mc:AlternateContent>
  <xr:revisionPtr revIDLastSave="0" documentId="13_ncr:1_{982AD085-C5C1-4379-8AB1-0A99B936E639}" xr6:coauthVersionLast="47" xr6:coauthVersionMax="47" xr10:uidLastSave="{00000000-0000-0000-0000-000000000000}"/>
  <bookViews>
    <workbookView xWindow="20" yWindow="740" windowWidth="19180" windowHeight="11260" xr2:uid="{00000000-000D-0000-FFFF-FFFF00000000}"/>
  </bookViews>
  <sheets>
    <sheet name="INVOICE" sheetId="1" r:id="rId1"/>
    <sheet name="VOUCHERS HTLS" sheetId="3" r:id="rId2"/>
    <sheet name="VOUCHER SERVICES" sheetId="4" r:id="rId3"/>
    <sheet name="EXTRAS INFORMATION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1VbuE/URadgOWf1zfuqPPNluzJ+7L2Us+yaYccFV738="/>
    </ext>
  </extLst>
</workbook>
</file>

<file path=xl/calcChain.xml><?xml version="1.0" encoding="utf-8"?>
<calcChain xmlns="http://schemas.openxmlformats.org/spreadsheetml/2006/main">
  <c r="I26" i="1" l="1"/>
  <c r="I25" i="1"/>
  <c r="I27" i="1"/>
  <c r="B348" i="4"/>
  <c r="B349" i="4"/>
  <c r="B350" i="4"/>
  <c r="B351" i="4"/>
  <c r="B352" i="4"/>
  <c r="B353" i="4"/>
  <c r="B354" i="4"/>
  <c r="B355" i="4"/>
  <c r="B356" i="4"/>
  <c r="B347" i="4"/>
  <c r="B321" i="4"/>
  <c r="B322" i="4"/>
  <c r="B323" i="4"/>
  <c r="B324" i="4"/>
  <c r="B325" i="4"/>
  <c r="B326" i="4"/>
  <c r="B327" i="4"/>
  <c r="B328" i="4"/>
  <c r="B329" i="4"/>
  <c r="B320" i="4"/>
  <c r="B293" i="4"/>
  <c r="B294" i="4"/>
  <c r="B295" i="4"/>
  <c r="B296" i="4"/>
  <c r="B297" i="4"/>
  <c r="B298" i="4"/>
  <c r="B299" i="4"/>
  <c r="B300" i="4"/>
  <c r="B301" i="4"/>
  <c r="B292" i="4"/>
  <c r="B266" i="4"/>
  <c r="B267" i="4"/>
  <c r="B268" i="4"/>
  <c r="B269" i="4"/>
  <c r="B270" i="4"/>
  <c r="B271" i="4"/>
  <c r="B272" i="4"/>
  <c r="B273" i="4"/>
  <c r="B274" i="4"/>
  <c r="B265" i="4"/>
  <c r="B239" i="4"/>
  <c r="B240" i="4"/>
  <c r="B241" i="4"/>
  <c r="B242" i="4"/>
  <c r="B243" i="4"/>
  <c r="B244" i="4"/>
  <c r="B245" i="4"/>
  <c r="B246" i="4"/>
  <c r="B247" i="4"/>
  <c r="B238" i="4"/>
  <c r="B212" i="4"/>
  <c r="B213" i="4"/>
  <c r="B214" i="4"/>
  <c r="B215" i="4"/>
  <c r="B216" i="4"/>
  <c r="B217" i="4"/>
  <c r="B218" i="4"/>
  <c r="B219" i="4"/>
  <c r="B220" i="4"/>
  <c r="B211" i="4"/>
  <c r="B185" i="4"/>
  <c r="B186" i="4"/>
  <c r="B187" i="4"/>
  <c r="B188" i="4"/>
  <c r="B189" i="4"/>
  <c r="B190" i="4"/>
  <c r="B191" i="4"/>
  <c r="B192" i="4"/>
  <c r="B193" i="4"/>
  <c r="B184" i="4"/>
  <c r="B159" i="4"/>
  <c r="B160" i="4"/>
  <c r="B161" i="4"/>
  <c r="B162" i="4"/>
  <c r="B163" i="4"/>
  <c r="B164" i="4"/>
  <c r="B165" i="4"/>
  <c r="B166" i="4"/>
  <c r="B167" i="4"/>
  <c r="B158" i="4"/>
  <c r="B133" i="4"/>
  <c r="B134" i="4"/>
  <c r="B135" i="4"/>
  <c r="B136" i="4"/>
  <c r="B137" i="4"/>
  <c r="B138" i="4"/>
  <c r="B139" i="4"/>
  <c r="B140" i="4"/>
  <c r="B141" i="4"/>
  <c r="B132" i="4"/>
  <c r="B107" i="4"/>
  <c r="B108" i="4"/>
  <c r="B109" i="4"/>
  <c r="B110" i="4"/>
  <c r="B111" i="4"/>
  <c r="B112" i="4"/>
  <c r="B113" i="4"/>
  <c r="B114" i="4"/>
  <c r="B115" i="4"/>
  <c r="B106" i="4"/>
  <c r="B64" i="4"/>
  <c r="B81" i="4"/>
  <c r="B82" i="4"/>
  <c r="B83" i="4"/>
  <c r="B84" i="4"/>
  <c r="B85" i="4"/>
  <c r="B86" i="4"/>
  <c r="B87" i="4"/>
  <c r="B88" i="4"/>
  <c r="B89" i="4"/>
  <c r="B80" i="4"/>
  <c r="B56" i="4"/>
  <c r="B57" i="4"/>
  <c r="B58" i="4"/>
  <c r="B59" i="4"/>
  <c r="B60" i="4"/>
  <c r="B61" i="4"/>
  <c r="B62" i="4"/>
  <c r="B63" i="4"/>
  <c r="B55" i="4"/>
  <c r="B29" i="4"/>
  <c r="B30" i="4"/>
  <c r="B31" i="4"/>
  <c r="B32" i="4"/>
  <c r="B33" i="4"/>
  <c r="B34" i="4"/>
  <c r="B35" i="4"/>
  <c r="B36" i="4"/>
  <c r="B37" i="4"/>
  <c r="B28" i="4"/>
  <c r="B8" i="4"/>
  <c r="C348" i="4"/>
  <c r="C349" i="4"/>
  <c r="C350" i="4"/>
  <c r="C351" i="4"/>
  <c r="C352" i="4"/>
  <c r="C353" i="4"/>
  <c r="C354" i="4"/>
  <c r="C355" i="4"/>
  <c r="C356" i="4"/>
  <c r="C347" i="4"/>
  <c r="C321" i="4"/>
  <c r="C322" i="4"/>
  <c r="C323" i="4"/>
  <c r="C324" i="4"/>
  <c r="C325" i="4"/>
  <c r="C326" i="4"/>
  <c r="C327" i="4"/>
  <c r="C328" i="4"/>
  <c r="C329" i="4"/>
  <c r="C320" i="4"/>
  <c r="C293" i="4"/>
  <c r="C294" i="4"/>
  <c r="C295" i="4"/>
  <c r="C296" i="4"/>
  <c r="C297" i="4"/>
  <c r="C298" i="4"/>
  <c r="C299" i="4"/>
  <c r="C300" i="4"/>
  <c r="C301" i="4"/>
  <c r="C292" i="4"/>
  <c r="C266" i="4"/>
  <c r="C267" i="4"/>
  <c r="C268" i="4"/>
  <c r="C269" i="4"/>
  <c r="C270" i="4"/>
  <c r="C271" i="4"/>
  <c r="C272" i="4"/>
  <c r="C273" i="4"/>
  <c r="C274" i="4"/>
  <c r="C265" i="4"/>
  <c r="C239" i="4"/>
  <c r="C240" i="4"/>
  <c r="C241" i="4"/>
  <c r="C242" i="4"/>
  <c r="C243" i="4"/>
  <c r="C244" i="4"/>
  <c r="C245" i="4"/>
  <c r="C246" i="4"/>
  <c r="C247" i="4"/>
  <c r="C238" i="4"/>
  <c r="C212" i="4"/>
  <c r="C213" i="4"/>
  <c r="C214" i="4"/>
  <c r="C215" i="4"/>
  <c r="C216" i="4"/>
  <c r="C217" i="4"/>
  <c r="C218" i="4"/>
  <c r="C219" i="4"/>
  <c r="C220" i="4"/>
  <c r="C211" i="4"/>
  <c r="C185" i="4"/>
  <c r="C186" i="4"/>
  <c r="C187" i="4"/>
  <c r="C188" i="4"/>
  <c r="C189" i="4"/>
  <c r="C190" i="4"/>
  <c r="C191" i="4"/>
  <c r="C192" i="4"/>
  <c r="C193" i="4"/>
  <c r="C184" i="4"/>
  <c r="C159" i="4"/>
  <c r="C160" i="4"/>
  <c r="C161" i="4"/>
  <c r="C162" i="4"/>
  <c r="C163" i="4"/>
  <c r="C164" i="4"/>
  <c r="C165" i="4"/>
  <c r="C166" i="4"/>
  <c r="C167" i="4"/>
  <c r="C158" i="4"/>
  <c r="C133" i="4"/>
  <c r="C134" i="4"/>
  <c r="C135" i="4"/>
  <c r="C136" i="4"/>
  <c r="C137" i="4"/>
  <c r="C138" i="4"/>
  <c r="C139" i="4"/>
  <c r="C140" i="4"/>
  <c r="C141" i="4"/>
  <c r="C132" i="4"/>
  <c r="C107" i="4"/>
  <c r="C108" i="4"/>
  <c r="C109" i="4"/>
  <c r="C110" i="4"/>
  <c r="C111" i="4"/>
  <c r="C112" i="4"/>
  <c r="C113" i="4"/>
  <c r="C114" i="4"/>
  <c r="C115" i="4"/>
  <c r="C106" i="4"/>
  <c r="C81" i="4"/>
  <c r="C82" i="4"/>
  <c r="C83" i="4"/>
  <c r="C84" i="4"/>
  <c r="C85" i="4"/>
  <c r="C86" i="4"/>
  <c r="C87" i="4"/>
  <c r="C88" i="4"/>
  <c r="C89" i="4"/>
  <c r="C80" i="4"/>
  <c r="C56" i="4"/>
  <c r="C57" i="4"/>
  <c r="C58" i="4"/>
  <c r="C59" i="4"/>
  <c r="C60" i="4"/>
  <c r="C61" i="4"/>
  <c r="C62" i="4"/>
  <c r="C63" i="4"/>
  <c r="C64" i="4"/>
  <c r="C55" i="4"/>
  <c r="C8" i="4"/>
  <c r="C37" i="4"/>
  <c r="C29" i="4"/>
  <c r="C30" i="4"/>
  <c r="C31" i="4"/>
  <c r="C32" i="4"/>
  <c r="C33" i="4"/>
  <c r="C34" i="4"/>
  <c r="C35" i="4"/>
  <c r="C36" i="4"/>
  <c r="C28" i="4"/>
  <c r="C9" i="4"/>
  <c r="C343" i="4"/>
  <c r="C316" i="4"/>
  <c r="C288" i="4"/>
  <c r="C261" i="4"/>
  <c r="C234" i="4"/>
  <c r="C207" i="4"/>
  <c r="C180" i="4"/>
  <c r="C154" i="4"/>
  <c r="C128" i="4"/>
  <c r="C102" i="4"/>
  <c r="C76" i="4"/>
  <c r="C51" i="4"/>
  <c r="C24" i="4"/>
  <c r="C4" i="4"/>
  <c r="C342" i="4"/>
  <c r="C315" i="4"/>
  <c r="C287" i="4"/>
  <c r="C260" i="4"/>
  <c r="C233" i="4"/>
  <c r="C206" i="4"/>
  <c r="C179" i="4"/>
  <c r="C153" i="4"/>
  <c r="C127" i="4"/>
  <c r="C101" i="4"/>
  <c r="C75" i="4"/>
  <c r="C50" i="4"/>
  <c r="C23" i="4"/>
  <c r="C341" i="4"/>
  <c r="C314" i="4"/>
  <c r="C286" i="4"/>
  <c r="C259" i="4"/>
  <c r="C232" i="4"/>
  <c r="C205" i="4"/>
  <c r="C178" i="4"/>
  <c r="C152" i="4"/>
  <c r="C126" i="4"/>
  <c r="C100" i="4"/>
  <c r="C74" i="4"/>
  <c r="C3" i="4"/>
  <c r="C49" i="4"/>
  <c r="C22" i="4"/>
  <c r="E234" i="3"/>
  <c r="E219" i="3"/>
  <c r="E204" i="3"/>
  <c r="E189" i="3"/>
  <c r="E174" i="3"/>
  <c r="E159" i="3"/>
  <c r="E144" i="3"/>
  <c r="E129" i="3"/>
  <c r="C131" i="3"/>
  <c r="C236" i="3"/>
  <c r="C221" i="3"/>
  <c r="C206" i="3"/>
  <c r="C191" i="3"/>
  <c r="C176" i="3"/>
  <c r="C161" i="3"/>
  <c r="C146" i="3"/>
  <c r="C235" i="3"/>
  <c r="C220" i="3"/>
  <c r="C205" i="3"/>
  <c r="C190" i="3"/>
  <c r="C175" i="3"/>
  <c r="C160" i="3"/>
  <c r="C145" i="3"/>
  <c r="C130" i="3"/>
  <c r="C234" i="3"/>
  <c r="C219" i="3"/>
  <c r="C204" i="3"/>
  <c r="C189" i="3"/>
  <c r="C174" i="3"/>
  <c r="C159" i="3"/>
  <c r="C144" i="3"/>
  <c r="C129" i="3"/>
  <c r="C233" i="3"/>
  <c r="C218" i="3"/>
  <c r="C203" i="3"/>
  <c r="C188" i="3"/>
  <c r="C173" i="3"/>
  <c r="C172" i="3"/>
  <c r="C158" i="3"/>
  <c r="C143" i="3"/>
  <c r="C128" i="3"/>
  <c r="C232" i="3"/>
  <c r="C217" i="3"/>
  <c r="C202" i="3"/>
  <c r="C187" i="3"/>
  <c r="C157" i="3"/>
  <c r="C142" i="3"/>
  <c r="C127" i="3"/>
  <c r="C231" i="3"/>
  <c r="C216" i="3"/>
  <c r="C201" i="3"/>
  <c r="C186" i="3"/>
  <c r="C171" i="3"/>
  <c r="C156" i="3"/>
  <c r="C141" i="3"/>
  <c r="C229" i="3"/>
  <c r="C214" i="3"/>
  <c r="C199" i="3"/>
  <c r="C184" i="3"/>
  <c r="C169" i="3"/>
  <c r="C154" i="3"/>
  <c r="C139" i="3"/>
  <c r="C116" i="3"/>
  <c r="C101" i="3"/>
  <c r="C86" i="3"/>
  <c r="C71" i="3"/>
  <c r="C56" i="3"/>
  <c r="C41" i="3"/>
  <c r="C25" i="3"/>
  <c r="C10" i="3"/>
  <c r="C115" i="3"/>
  <c r="C100" i="3"/>
  <c r="C85" i="3"/>
  <c r="C70" i="3"/>
  <c r="C55" i="3"/>
  <c r="C40" i="3"/>
  <c r="C24" i="3"/>
  <c r="C9" i="3"/>
  <c r="E114" i="3"/>
  <c r="E99" i="3"/>
  <c r="E84" i="3"/>
  <c r="E69" i="3"/>
  <c r="E54" i="3"/>
  <c r="E39" i="3"/>
  <c r="E23" i="3"/>
  <c r="E8" i="3"/>
  <c r="C114" i="3"/>
  <c r="C99" i="3"/>
  <c r="C84" i="3"/>
  <c r="C69" i="3"/>
  <c r="C54" i="3"/>
  <c r="C39" i="3"/>
  <c r="C23" i="3"/>
  <c r="C8" i="3"/>
  <c r="C113" i="3"/>
  <c r="C98" i="3"/>
  <c r="C83" i="3"/>
  <c r="C68" i="3"/>
  <c r="C53" i="3"/>
  <c r="C38" i="3"/>
  <c r="C22" i="3"/>
  <c r="C7" i="3"/>
  <c r="C112" i="3"/>
  <c r="C97" i="3"/>
  <c r="C82" i="3"/>
  <c r="C67" i="3"/>
  <c r="C52" i="3"/>
  <c r="C37" i="3"/>
  <c r="C21" i="3"/>
  <c r="C6" i="3"/>
  <c r="C51" i="3"/>
  <c r="C36" i="3"/>
  <c r="C20" i="3"/>
  <c r="C5" i="3"/>
  <c r="C126" i="3"/>
  <c r="C111" i="3"/>
  <c r="C96" i="3"/>
  <c r="C81" i="3"/>
  <c r="C66" i="3"/>
  <c r="C124" i="3"/>
  <c r="C109" i="3"/>
  <c r="C94" i="3"/>
  <c r="C79" i="3"/>
  <c r="C64" i="3"/>
  <c r="C49" i="3"/>
  <c r="C34" i="3"/>
  <c r="C2" i="4"/>
  <c r="C18" i="3"/>
  <c r="C361" i="4"/>
  <c r="B361" i="4"/>
  <c r="C360" i="4"/>
  <c r="B360" i="4"/>
  <c r="C359" i="4"/>
  <c r="B359" i="4"/>
  <c r="C358" i="4"/>
  <c r="B358" i="4"/>
  <c r="C357" i="4"/>
  <c r="B357" i="4"/>
  <c r="C334" i="4"/>
  <c r="B334" i="4"/>
  <c r="C333" i="4"/>
  <c r="B333" i="4"/>
  <c r="C332" i="4"/>
  <c r="B332" i="4"/>
  <c r="C331" i="4"/>
  <c r="B331" i="4"/>
  <c r="C330" i="4"/>
  <c r="B330" i="4"/>
  <c r="C306" i="4"/>
  <c r="B306" i="4"/>
  <c r="C305" i="4"/>
  <c r="B305" i="4"/>
  <c r="C304" i="4"/>
  <c r="B304" i="4"/>
  <c r="C303" i="4"/>
  <c r="B303" i="4"/>
  <c r="C302" i="4"/>
  <c r="B302" i="4"/>
  <c r="C279" i="4"/>
  <c r="B279" i="4"/>
  <c r="C278" i="4"/>
  <c r="B278" i="4"/>
  <c r="C277" i="4"/>
  <c r="B277" i="4"/>
  <c r="C276" i="4"/>
  <c r="B276" i="4"/>
  <c r="C275" i="4"/>
  <c r="B275" i="4"/>
  <c r="C252" i="4"/>
  <c r="B252" i="4"/>
  <c r="C251" i="4"/>
  <c r="B251" i="4"/>
  <c r="C250" i="4"/>
  <c r="B250" i="4"/>
  <c r="C249" i="4"/>
  <c r="B249" i="4"/>
  <c r="C248" i="4"/>
  <c r="B248" i="4"/>
  <c r="C225" i="4"/>
  <c r="B225" i="4"/>
  <c r="C224" i="4"/>
  <c r="B224" i="4"/>
  <c r="C223" i="4"/>
  <c r="B223" i="4"/>
  <c r="C222" i="4"/>
  <c r="B222" i="4"/>
  <c r="C221" i="4"/>
  <c r="C197" i="4"/>
  <c r="B197" i="4"/>
  <c r="C196" i="4"/>
  <c r="B196" i="4"/>
  <c r="C195" i="4"/>
  <c r="B195" i="4"/>
  <c r="C194" i="4"/>
  <c r="B194" i="4"/>
  <c r="C171" i="4"/>
  <c r="B171" i="4"/>
  <c r="C170" i="4"/>
  <c r="B170" i="4"/>
  <c r="C169" i="4"/>
  <c r="B169" i="4"/>
  <c r="C168" i="4"/>
  <c r="B168" i="4"/>
  <c r="C145" i="4"/>
  <c r="B145" i="4"/>
  <c r="C144" i="4"/>
  <c r="B144" i="4"/>
  <c r="C143" i="4"/>
  <c r="B143" i="4"/>
  <c r="C142" i="4"/>
  <c r="B142" i="4"/>
  <c r="C119" i="4"/>
  <c r="B119" i="4"/>
  <c r="C118" i="4"/>
  <c r="C117" i="4"/>
  <c r="C116" i="4"/>
  <c r="C92" i="4"/>
  <c r="B92" i="4"/>
  <c r="C91" i="4"/>
  <c r="B91" i="4"/>
  <c r="C90" i="4"/>
  <c r="B90" i="4"/>
  <c r="C68" i="4"/>
  <c r="B68" i="4"/>
  <c r="C67" i="4"/>
  <c r="B67" i="4"/>
  <c r="C66" i="4"/>
  <c r="B66" i="4"/>
  <c r="C65" i="4"/>
  <c r="B65" i="4"/>
  <c r="C43" i="4"/>
  <c r="B43" i="4"/>
  <c r="C42" i="4"/>
  <c r="B42" i="4"/>
  <c r="C41" i="4"/>
  <c r="B41" i="4"/>
  <c r="C40" i="4"/>
  <c r="B40" i="4"/>
  <c r="C39" i="4"/>
  <c r="B39" i="4"/>
  <c r="C38" i="4"/>
  <c r="B3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B9" i="4"/>
  <c r="C3" i="3"/>
</calcChain>
</file>

<file path=xl/sharedStrings.xml><?xml version="1.0" encoding="utf-8"?>
<sst xmlns="http://schemas.openxmlformats.org/spreadsheetml/2006/main" count="270" uniqueCount="55">
  <si>
    <t xml:space="preserve">Operator: </t>
  </si>
  <si>
    <t>REF :</t>
  </si>
  <si>
    <t>Deadline for payment:</t>
  </si>
  <si>
    <t>Land Services</t>
  </si>
  <si>
    <t>Refundable prior to 20 days to arrival cancellation</t>
  </si>
  <si>
    <t>Hotels</t>
  </si>
  <si>
    <t xml:space="preserve">Penalties according to hotel's policy </t>
  </si>
  <si>
    <r>
      <rPr>
        <b/>
        <sz val="10"/>
        <color rgb="FF3F3F3F"/>
        <rFont val="Garamond"/>
        <family val="1"/>
      </rPr>
      <t xml:space="preserve">IMPORTANT: </t>
    </r>
    <r>
      <rPr>
        <sz val="10"/>
        <color rgb="FF3F3F3F"/>
        <rFont val="Garamond"/>
        <family val="1"/>
      </rPr>
      <t>All bank charges should be covered by ordering customer</t>
    </r>
    <r>
      <rPr>
        <b/>
        <sz val="10"/>
        <color rgb="FF3F3F3F"/>
        <rFont val="Garamond"/>
        <family val="1"/>
      </rPr>
      <t xml:space="preserve"> </t>
    </r>
  </si>
  <si>
    <t>Flights</t>
  </si>
  <si>
    <t>Non refundable</t>
  </si>
  <si>
    <t>MEAL PLAN</t>
  </si>
  <si>
    <t>CITY</t>
  </si>
  <si>
    <t>Incl.</t>
  </si>
  <si>
    <t>SERVICES</t>
  </si>
  <si>
    <t xml:space="preserve">Total price </t>
  </si>
  <si>
    <t>Total to be Paid</t>
  </si>
  <si>
    <t>INDR0/19</t>
  </si>
  <si>
    <t>DADOS:</t>
  </si>
  <si>
    <t>VOUCHER NUMBER</t>
  </si>
  <si>
    <t>CLIENT NAME</t>
  </si>
  <si>
    <t>HOTEL</t>
  </si>
  <si>
    <t>CATEGORY ROOM</t>
  </si>
  <si>
    <t>Qtd</t>
  </si>
  <si>
    <t>DATES</t>
  </si>
  <si>
    <t>ADDRESS</t>
  </si>
  <si>
    <t>PHONE</t>
  </si>
  <si>
    <t>Services</t>
  </si>
  <si>
    <t>Date</t>
  </si>
  <si>
    <t>Hotel Name</t>
  </si>
  <si>
    <t>Category</t>
  </si>
  <si>
    <t>Meal Plan</t>
  </si>
  <si>
    <t>City</t>
  </si>
  <si>
    <t>Room's</t>
  </si>
  <si>
    <t>Nights</t>
  </si>
  <si>
    <t>Subtotal</t>
  </si>
  <si>
    <t>Paxs</t>
  </si>
  <si>
    <t>Way(s)</t>
  </si>
  <si>
    <t>booking@adatours.com</t>
  </si>
  <si>
    <t>Usd</t>
  </si>
  <si>
    <t>Prepayment till:</t>
  </si>
  <si>
    <t>Full payment till:</t>
  </si>
  <si>
    <t>Russian express</t>
  </si>
  <si>
    <t>Ekaterina.Akinina@r-express.ru</t>
  </si>
  <si>
    <t>08.04.2026</t>
  </si>
  <si>
    <t>Check In: 08.05.2026  
Check Out: 10.05.2026</t>
  </si>
  <si>
    <t>Evolucao Ecolodge</t>
  </si>
  <si>
    <t>SGL Cahlet</t>
  </si>
  <si>
    <t>Full board</t>
  </si>
  <si>
    <t>Manaus</t>
  </si>
  <si>
    <t>08-10.05.2026</t>
  </si>
  <si>
    <t>Evolucao Ecolodge Pakage 3d2n included transfers and tours in group with English guide,  Meeting of the waters, inc Pink dolphins swimming</t>
  </si>
  <si>
    <t>The money can be transfered to:
Beneficiary Bank : BANK OF AMERICA
Bank address: 801 E. HALLANDALE BEACH BLVD. FLORIDA , 3309.
SWIFT: BOFAUS3N
BANK ACCOUNT : 898092533700
ABA : 026009593</t>
  </si>
  <si>
    <t xml:space="preserve">Beneficiary: VIPDELUXETRAVEL LLC
Beneficiary Address : 200 S. PARK RD. SUITE 301. HOLLYWOOD. FL 33021    </t>
  </si>
  <si>
    <t>INAE1352/26</t>
  </si>
  <si>
    <t xml:space="preserve"> Nina Matalasova
Valeriia Polozova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</si>
</sst>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$-409]* #,##0_ ;_-[$$-409]* \-#,##0\ ;_-[$$-409]* &quot;-&quot;??_ ;_-@_ "/>
    <numFmt numFmtId="165" formatCode="[$$-409]#,##0_ ;\-[$$-409]#,##0\ "/>
    <numFmt numFmtId="166" formatCode="[$$-409]#,##0.00_ ;\-[$$-409]#,##0.00\ "/>
    <numFmt numFmtId="167" formatCode="[$$-409]#,##0"/>
    <numFmt numFmtId="168" formatCode="yyyy\-mm\-dd"/>
  </numFmts>
  <fonts count="43" x14ac:knownFonts="1">
    <font>
      <sz val="10"/>
      <color rgb="FF000000"/>
      <name val="Arial"/>
      <scheme val="minor"/>
    </font>
    <font>
      <sz val="14"/>
      <color rgb="FF3F3F3F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sz val="12"/>
      <color rgb="FF595959"/>
      <name val="Garamond"/>
      <family val="1"/>
    </font>
    <font>
      <sz val="12"/>
      <color rgb="FF595959"/>
      <name val="Garamond"/>
      <family val="1"/>
    </font>
    <font>
      <b/>
      <sz val="10"/>
      <color rgb="FF595959"/>
      <name val="Garamond"/>
      <family val="1"/>
    </font>
    <font>
      <sz val="10"/>
      <color rgb="FF595959"/>
      <name val="Garamond"/>
      <family val="1"/>
    </font>
    <font>
      <b/>
      <sz val="10"/>
      <color rgb="FF3F3F3F"/>
      <name val="Garamond"/>
      <family val="1"/>
    </font>
    <font>
      <b/>
      <sz val="11"/>
      <color rgb="FF3F3F3F"/>
      <name val="Garamond"/>
      <family val="1"/>
    </font>
    <font>
      <sz val="11"/>
      <color rgb="FF3F3F3F"/>
      <name val="Garamond"/>
      <family val="1"/>
    </font>
    <font>
      <sz val="9"/>
      <color rgb="FF3F3F3F"/>
      <name val="Calibri"/>
      <family val="2"/>
    </font>
    <font>
      <b/>
      <sz val="12"/>
      <color theme="1"/>
      <name val="Garamond"/>
      <family val="1"/>
    </font>
    <font>
      <sz val="11"/>
      <color theme="1"/>
      <name val="Garamond"/>
      <family val="1"/>
    </font>
    <font>
      <sz val="11"/>
      <color rgb="FF000000"/>
      <name val="Garamond"/>
      <family val="1"/>
    </font>
    <font>
      <sz val="12"/>
      <color theme="1"/>
      <name val="Garamond"/>
      <family val="1"/>
    </font>
    <font>
      <sz val="12"/>
      <color rgb="FF3F3F3F"/>
      <name val="Garamond"/>
      <family val="1"/>
    </font>
    <font>
      <b/>
      <sz val="10"/>
      <color rgb="FFFF0000"/>
      <name val="Calibri"/>
      <family val="2"/>
    </font>
    <font>
      <b/>
      <sz val="12"/>
      <color rgb="FF3F3F3F"/>
      <name val="Garamond"/>
      <family val="1"/>
    </font>
    <font>
      <b/>
      <sz val="10"/>
      <color rgb="FFFF0000"/>
      <name val="Garamond"/>
      <family val="1"/>
    </font>
    <font>
      <b/>
      <sz val="20"/>
      <color rgb="FF474747"/>
      <name val="Garamond"/>
      <family val="1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3F3F3F"/>
      <name val="Garamond"/>
      <family val="1"/>
    </font>
    <font>
      <sz val="12"/>
      <color rgb="FF3F3F3F"/>
      <name val="Gadugi"/>
    </font>
    <font>
      <b/>
      <sz val="12"/>
      <color theme="1"/>
      <name val="Calibri"/>
      <family val="2"/>
    </font>
    <font>
      <sz val="12"/>
      <color theme="1"/>
      <name val="Gadugi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rgb="FF595959"/>
      <name val="Garamond"/>
      <family val="1"/>
    </font>
    <font>
      <sz val="10"/>
      <color rgb="FF3F3F3F"/>
      <name val="Garamond"/>
      <family val="1"/>
    </font>
    <font>
      <u/>
      <sz val="10"/>
      <color theme="10"/>
      <name val="Arial"/>
      <family val="2"/>
      <scheme val="minor"/>
    </font>
    <font>
      <sz val="10"/>
      <name val="Gadugi"/>
    </font>
    <font>
      <sz val="14"/>
      <color theme="1"/>
      <name val="Garamond"/>
      <family val="1"/>
    </font>
    <font>
      <sz val="16"/>
      <color theme="1"/>
      <name val="Gadugi"/>
    </font>
    <font>
      <sz val="16"/>
      <color theme="1"/>
      <name val="Arial"/>
      <family val="2"/>
    </font>
    <font>
      <sz val="24"/>
      <color rgb="FF474747"/>
      <name val="Gadugi"/>
    </font>
    <font>
      <sz val="18"/>
      <color rgb="FF3F3F3F"/>
      <name val="Gadugi"/>
    </font>
    <font>
      <sz val="18"/>
      <name val="Gadugi"/>
    </font>
    <font>
      <sz val="12"/>
      <name val="Arial"/>
      <family val="2"/>
    </font>
    <font>
      <sz val="20"/>
      <color theme="1"/>
      <name val="Garamond"/>
      <family val="1"/>
    </font>
    <font>
      <b/>
      <sz val="14"/>
      <color theme="1"/>
      <name val="Garamond"/>
      <family val="1"/>
    </font>
    <font>
      <b/>
      <sz val="11"/>
      <color theme="1" tint="0.34998626667073579"/>
      <name val="Gadug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FDE"/>
        <bgColor rgb="FF00DFDE"/>
      </patternFill>
    </fill>
    <fill>
      <patternFill patternType="solid">
        <fgColor rgb="FF00C4C5"/>
        <bgColor rgb="FF00C4C5"/>
      </patternFill>
    </fill>
    <fill>
      <patternFill patternType="solid">
        <fgColor rgb="FFDAEEF3"/>
        <bgColor rgb="FFDAEEF3"/>
      </patternFill>
    </fill>
    <fill>
      <patternFill patternType="solid">
        <fgColor theme="8"/>
        <bgColor theme="8"/>
      </patternFill>
    </fill>
    <fill>
      <patternFill patternType="solid">
        <fgColor rgb="FFE3F8F9"/>
        <bgColor rgb="FF00DFDE"/>
      </patternFill>
    </fill>
    <fill>
      <patternFill patternType="solid">
        <fgColor rgb="FFE3F8F9"/>
        <bgColor indexed="64"/>
      </patternFill>
    </fill>
    <fill>
      <patternFill patternType="solid">
        <fgColor rgb="FF22BFC8"/>
        <bgColor rgb="FF00DFDE"/>
      </patternFill>
    </fill>
    <fill>
      <patternFill patternType="solid">
        <fgColor rgb="FF22BFC8"/>
        <bgColor indexed="64"/>
      </patternFill>
    </fill>
    <fill>
      <patternFill patternType="solid">
        <fgColor rgb="FFE3F8F9"/>
        <bgColor theme="0"/>
      </patternFill>
    </fill>
    <fill>
      <patternFill patternType="solid">
        <fgColor rgb="FF22BFC8"/>
        <bgColor theme="0"/>
      </patternFill>
    </fill>
    <fill>
      <patternFill patternType="solid">
        <fgColor theme="0"/>
        <bgColor rgb="FF00DFDE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22BFC8"/>
      </left>
      <right style="thin">
        <color theme="0"/>
      </right>
      <top/>
      <bottom style="thin">
        <color rgb="FFFBD4B4"/>
      </bottom>
      <diagonal/>
    </border>
    <border>
      <left style="thin">
        <color theme="0"/>
      </left>
      <right style="thin">
        <color theme="0"/>
      </right>
      <top/>
      <bottom style="thin">
        <color rgb="FFFBD4B4"/>
      </bottom>
      <diagonal/>
    </border>
    <border>
      <left style="thin">
        <color theme="0"/>
      </left>
      <right style="medium">
        <color rgb="FF22BFC8"/>
      </right>
      <top/>
      <bottom style="thin">
        <color rgb="FFFBD4B4"/>
      </bottom>
      <diagonal/>
    </border>
    <border>
      <left style="medium">
        <color rgb="FF22BFC8"/>
      </left>
      <right style="thin">
        <color theme="0"/>
      </right>
      <top style="thin">
        <color rgb="FFFBD4B4"/>
      </top>
      <bottom style="thin">
        <color rgb="FFFBD4B4"/>
      </bottom>
      <diagonal/>
    </border>
    <border>
      <left style="thin">
        <color theme="0"/>
      </left>
      <right style="thin">
        <color theme="0"/>
      </right>
      <top style="thin">
        <color rgb="FFFBD4B4"/>
      </top>
      <bottom style="thin">
        <color rgb="FFFBD4B4"/>
      </bottom>
      <diagonal/>
    </border>
    <border>
      <left style="thin">
        <color theme="0"/>
      </left>
      <right style="medium">
        <color rgb="FF22BFC8"/>
      </right>
      <top style="thin">
        <color rgb="FFFBD4B4"/>
      </top>
      <bottom style="thin">
        <color rgb="FFFBD4B4"/>
      </bottom>
      <diagonal/>
    </border>
    <border>
      <left style="medium">
        <color rgb="FF22BFC8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rgb="FFFBD4B4"/>
      </top>
      <bottom/>
      <diagonal/>
    </border>
    <border>
      <left style="thin">
        <color theme="0"/>
      </left>
      <right style="medium">
        <color rgb="FF22BFC8"/>
      </right>
      <top style="thin">
        <color rgb="FFFBD4B4"/>
      </top>
      <bottom/>
      <diagonal/>
    </border>
    <border>
      <left style="medium">
        <color rgb="FF22BFC8"/>
      </left>
      <right/>
      <top style="thin">
        <color rgb="FF22BFC8"/>
      </top>
      <bottom style="thin">
        <color rgb="FF22BFC8"/>
      </bottom>
      <diagonal/>
    </border>
    <border>
      <left/>
      <right/>
      <top style="thin">
        <color rgb="FF22BFC8"/>
      </top>
      <bottom style="thin">
        <color rgb="FF22BFC8"/>
      </bottom>
      <diagonal/>
    </border>
    <border>
      <left style="medium">
        <color rgb="FF22BFC8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22BFC8"/>
      </right>
      <top style="thin">
        <color rgb="FF000000"/>
      </top>
      <bottom style="thin">
        <color rgb="FF000000"/>
      </bottom>
      <diagonal/>
    </border>
    <border>
      <left style="medium">
        <color rgb="FF22BFC8"/>
      </left>
      <right/>
      <top/>
      <bottom/>
      <diagonal/>
    </border>
    <border>
      <left/>
      <right/>
      <top/>
      <bottom/>
      <diagonal/>
    </border>
    <border>
      <left/>
      <right style="medium">
        <color rgb="FF22BFC8"/>
      </right>
      <top/>
      <bottom/>
      <diagonal/>
    </border>
    <border>
      <left style="medium">
        <color rgb="FF22BFC8"/>
      </left>
      <right/>
      <top/>
      <bottom style="medium">
        <color rgb="FF22BFC8"/>
      </bottom>
      <diagonal/>
    </border>
    <border>
      <left/>
      <right/>
      <top/>
      <bottom style="medium">
        <color rgb="FF22BFC8"/>
      </bottom>
      <diagonal/>
    </border>
    <border>
      <left/>
      <right style="medium">
        <color rgb="FF22BFC8"/>
      </right>
      <top/>
      <bottom style="medium">
        <color rgb="FF22BFC8"/>
      </bottom>
      <diagonal/>
    </border>
    <border>
      <left/>
      <right/>
      <top style="thin">
        <color rgb="FF595959"/>
      </top>
      <bottom/>
      <diagonal/>
    </border>
    <border>
      <left/>
      <right/>
      <top style="thin">
        <color rgb="FF595959"/>
      </top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3F3F3F"/>
      </left>
      <right/>
      <top style="thin">
        <color rgb="FFFDE9D9"/>
      </top>
      <bottom style="thin">
        <color rgb="FFFDE9D9"/>
      </bottom>
      <diagonal/>
    </border>
    <border>
      <left/>
      <right/>
      <top style="thin">
        <color rgb="FFFDE9D9"/>
      </top>
      <bottom style="thin">
        <color rgb="FFFDE9D9"/>
      </bottom>
      <diagonal/>
    </border>
    <border>
      <left/>
      <right style="thin">
        <color rgb="FF3F3F3F"/>
      </right>
      <top style="thin">
        <color rgb="FFFDE9D9"/>
      </top>
      <bottom style="thin">
        <color rgb="FFFDE9D9"/>
      </bottom>
      <diagonal/>
    </border>
    <border>
      <left style="thin">
        <color rgb="FF3F3F3F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/>
      <top/>
      <bottom/>
      <diagonal/>
    </border>
    <border>
      <left/>
      <right/>
      <top style="thin">
        <color rgb="FF3F3F3F"/>
      </top>
      <bottom/>
      <diagonal/>
    </border>
    <border>
      <left style="thin">
        <color rgb="FF595959"/>
      </left>
      <right/>
      <top style="thin">
        <color rgb="FFDAEEF3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22BFC8"/>
      </bottom>
      <diagonal/>
    </border>
    <border>
      <left style="medium">
        <color rgb="FF22BFC8"/>
      </left>
      <right/>
      <top/>
      <bottom style="thin">
        <color rgb="FF22BFC8"/>
      </bottom>
      <diagonal/>
    </border>
    <border>
      <left/>
      <right style="medium">
        <color rgb="FF22BFC8"/>
      </right>
      <top/>
      <bottom style="thin">
        <color rgb="FF22BFC8"/>
      </bottom>
      <diagonal/>
    </border>
    <border>
      <left style="thin">
        <color rgb="FF22BFC8"/>
      </left>
      <right/>
      <top/>
      <bottom/>
      <diagonal/>
    </border>
    <border>
      <left/>
      <right style="medium">
        <color rgb="FF22BFC8"/>
      </right>
      <top style="thin">
        <color rgb="FF22BFC8"/>
      </top>
      <bottom style="thin">
        <color rgb="FF22BFC8"/>
      </bottom>
      <diagonal/>
    </border>
    <border>
      <left/>
      <right/>
      <top/>
      <bottom style="hair">
        <color rgb="FF22BFC8"/>
      </bottom>
      <diagonal/>
    </border>
    <border>
      <left/>
      <right style="hair">
        <color rgb="FF22BFC8"/>
      </right>
      <top/>
      <bottom style="hair">
        <color rgb="FF22BFC8"/>
      </bottom>
      <diagonal/>
    </border>
    <border>
      <left style="medium">
        <color rgb="FF22BFC8"/>
      </left>
      <right/>
      <top style="medium">
        <color rgb="FF22BFC8"/>
      </top>
      <bottom/>
      <diagonal/>
    </border>
    <border>
      <left/>
      <right/>
      <top style="medium">
        <color rgb="FF22BFC8"/>
      </top>
      <bottom/>
      <diagonal/>
    </border>
    <border>
      <left/>
      <right style="medium">
        <color rgb="FF22BFC8"/>
      </right>
      <top style="medium">
        <color rgb="FF22BFC8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22BFC8"/>
      </left>
      <right/>
      <top/>
      <bottom style="hair">
        <color rgb="FF22BFC8"/>
      </bottom>
      <diagonal/>
    </border>
    <border>
      <left style="medium">
        <color rgb="FF22BFC8"/>
      </left>
      <right/>
      <top style="thin">
        <color theme="1"/>
      </top>
      <bottom style="thin">
        <color theme="1"/>
      </bottom>
      <diagonal/>
    </border>
    <border>
      <left/>
      <right style="medium">
        <color rgb="FF22BFC8"/>
      </right>
      <top style="thin">
        <color theme="1"/>
      </top>
      <bottom style="thin">
        <color theme="1"/>
      </bottom>
      <diagonal/>
    </border>
    <border>
      <left style="medium">
        <color rgb="FF22BFC8"/>
      </left>
      <right/>
      <top style="thin">
        <color rgb="FF22BFC8"/>
      </top>
      <bottom/>
      <diagonal/>
    </border>
    <border>
      <left/>
      <right style="hair">
        <color rgb="FF22BFC8"/>
      </right>
      <top/>
      <bottom/>
      <diagonal/>
    </border>
    <border>
      <left style="hair">
        <color rgb="FF22BFC8"/>
      </left>
      <right/>
      <top/>
      <bottom style="thin">
        <color rgb="FF22BFC8"/>
      </bottom>
      <diagonal/>
    </border>
    <border>
      <left style="hair">
        <color rgb="FF22BFC8"/>
      </left>
      <right/>
      <top style="thin">
        <color rgb="FF22BFC8"/>
      </top>
      <bottom style="thin">
        <color rgb="FF22BFC8"/>
      </bottom>
      <diagonal/>
    </border>
    <border>
      <left/>
      <right style="hair">
        <color rgb="FF22BFC8"/>
      </right>
      <top style="thin">
        <color rgb="FF22BFC8"/>
      </top>
      <bottom style="thin">
        <color rgb="FF22BFC8"/>
      </bottom>
      <diagonal/>
    </border>
    <border>
      <left style="hair">
        <color rgb="FF22BFC8"/>
      </left>
      <right style="medium">
        <color rgb="FF22BFC8"/>
      </right>
      <top/>
      <bottom style="hair">
        <color rgb="FF22BFC8"/>
      </bottom>
      <diagonal/>
    </border>
    <border>
      <left style="hair">
        <color rgb="FF22BFC8"/>
      </left>
      <right style="medium">
        <color rgb="FF22BFC8"/>
      </right>
      <top/>
      <bottom/>
      <diagonal/>
    </border>
    <border>
      <left style="medium">
        <color rgb="FF22BFC8"/>
      </left>
      <right style="medium">
        <color rgb="FF22BFC8"/>
      </right>
      <top style="medium">
        <color rgb="FF22BFC8"/>
      </top>
      <bottom style="medium">
        <color rgb="FF22BFC8"/>
      </bottom>
      <diagonal/>
    </border>
    <border>
      <left style="medium">
        <color rgb="FF22BFC8"/>
      </left>
      <right/>
      <top style="thin">
        <color rgb="FF595959"/>
      </top>
      <bottom style="thin">
        <color rgb="FF595959"/>
      </bottom>
      <diagonal/>
    </border>
    <border>
      <left/>
      <right style="medium">
        <color rgb="FF22BFC8"/>
      </right>
      <top style="thin">
        <color rgb="FF595959"/>
      </top>
      <bottom style="thin">
        <color rgb="FF595959"/>
      </bottom>
      <diagonal/>
    </border>
    <border>
      <left/>
      <right style="medium">
        <color rgb="FF22BFC8"/>
      </right>
      <top style="thin">
        <color rgb="FF595959"/>
      </top>
      <bottom/>
      <diagonal/>
    </border>
    <border>
      <left style="medium">
        <color rgb="FF22BFC8"/>
      </left>
      <right/>
      <top style="thin">
        <color rgb="FF595959"/>
      </top>
      <bottom/>
      <diagonal/>
    </border>
    <border>
      <left/>
      <right style="medium">
        <color rgb="FF22BFC8"/>
      </right>
      <top style="medium">
        <color rgb="FF22BFC8"/>
      </top>
      <bottom style="thin">
        <color rgb="FF22BFC8"/>
      </bottom>
      <diagonal/>
    </border>
    <border>
      <left/>
      <right/>
      <top style="medium">
        <color rgb="FF22BFC8"/>
      </top>
      <bottom style="thin">
        <color rgb="FF22BFC8"/>
      </bottom>
      <diagonal/>
    </border>
    <border>
      <left style="thin">
        <color rgb="FF22BFC8"/>
      </left>
      <right style="thin">
        <color rgb="FF22BFC8"/>
      </right>
      <top style="thin">
        <color rgb="FF22BFC8"/>
      </top>
      <bottom style="thin">
        <color rgb="FF22BFC8"/>
      </bottom>
      <diagonal/>
    </border>
    <border>
      <left style="medium">
        <color rgb="FF22BFC8"/>
      </left>
      <right style="thin">
        <color rgb="FF22BFC8"/>
      </right>
      <top style="thin">
        <color rgb="FF22BFC8"/>
      </top>
      <bottom style="thin">
        <color rgb="FF22BFC8"/>
      </bottom>
      <diagonal/>
    </border>
    <border>
      <left style="medium">
        <color rgb="FF22BFC8"/>
      </left>
      <right/>
      <top style="medium">
        <color rgb="FF22BFC8"/>
      </top>
      <bottom style="medium">
        <color rgb="FF22BFC8"/>
      </bottom>
      <diagonal/>
    </border>
    <border>
      <left/>
      <right style="medium">
        <color rgb="FF22BFC8"/>
      </right>
      <top style="medium">
        <color rgb="FF22BFC8"/>
      </top>
      <bottom style="medium">
        <color rgb="FF22BFC8"/>
      </bottom>
      <diagonal/>
    </border>
    <border>
      <left style="medium">
        <color rgb="FF22BFC8"/>
      </left>
      <right style="thin">
        <color rgb="FF22BFC8"/>
      </right>
      <top style="thin">
        <color rgb="FF22BFC8"/>
      </top>
      <bottom style="medium">
        <color rgb="FF22BFC8"/>
      </bottom>
      <diagonal/>
    </border>
    <border>
      <left style="medium">
        <color rgb="FF22BFC8"/>
      </left>
      <right style="thin">
        <color rgb="FF22BFC8"/>
      </right>
      <top style="thin">
        <color rgb="FF22BFC8"/>
      </top>
      <bottom/>
      <diagonal/>
    </border>
    <border>
      <left/>
      <right style="medium">
        <color rgb="FF22BFC8"/>
      </right>
      <top/>
      <bottom style="thin">
        <color rgb="FFDAEEF3"/>
      </bottom>
      <diagonal/>
    </border>
    <border>
      <left/>
      <right style="medium">
        <color rgb="FF22BFC8"/>
      </right>
      <top/>
      <bottom style="thin">
        <color rgb="FF595959"/>
      </bottom>
      <diagonal/>
    </border>
    <border>
      <left/>
      <right style="medium">
        <color rgb="FF22BFC8"/>
      </right>
      <top style="thin">
        <color rgb="FF595959"/>
      </top>
      <bottom style="medium">
        <color rgb="FF22BFC8"/>
      </bottom>
      <diagonal/>
    </border>
    <border>
      <left/>
      <right style="medium">
        <color rgb="FF22BFC8"/>
      </right>
      <top style="medium">
        <color rgb="FF22BFC8"/>
      </top>
      <bottom style="thin">
        <color theme="8"/>
      </bottom>
      <diagonal/>
    </border>
    <border>
      <left style="thin">
        <color rgb="FF22BFC8"/>
      </left>
      <right style="medium">
        <color rgb="FF22BFC8"/>
      </right>
      <top style="thin">
        <color rgb="FF22BFC8"/>
      </top>
      <bottom style="thin">
        <color rgb="FF22BFC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204">
    <xf numFmtId="0" fontId="0" fillId="0" borderId="0" xfId="0"/>
    <xf numFmtId="0" fontId="3" fillId="0" borderId="0" xfId="0" applyFont="1"/>
    <xf numFmtId="0" fontId="3" fillId="2" borderId="4" xfId="0" applyFont="1" applyFill="1" applyBorder="1"/>
    <xf numFmtId="14" fontId="11" fillId="2" borderId="5" xfId="0" applyNumberFormat="1" applyFont="1" applyFill="1" applyBorder="1" applyAlignment="1">
      <alignment horizontal="left" vertical="center" wrapText="1"/>
    </xf>
    <xf numFmtId="14" fontId="11" fillId="2" borderId="6" xfId="0" applyNumberFormat="1" applyFont="1" applyFill="1" applyBorder="1" applyAlignment="1">
      <alignment horizontal="center" vertical="center" wrapText="1"/>
    </xf>
    <xf numFmtId="165" fontId="11" fillId="2" borderId="6" xfId="0" applyNumberFormat="1" applyFont="1" applyFill="1" applyBorder="1" applyAlignment="1">
      <alignment horizontal="center" vertical="center" wrapText="1"/>
    </xf>
    <xf numFmtId="3" fontId="11" fillId="2" borderId="6" xfId="0" applyNumberFormat="1" applyFont="1" applyFill="1" applyBorder="1" applyAlignment="1">
      <alignment horizontal="center" vertical="center" wrapText="1"/>
    </xf>
    <xf numFmtId="165" fontId="11" fillId="2" borderId="7" xfId="0" applyNumberFormat="1" applyFont="1" applyFill="1" applyBorder="1" applyAlignment="1">
      <alignment horizontal="center" vertical="center" wrapText="1"/>
    </xf>
    <xf numFmtId="14" fontId="11" fillId="2" borderId="8" xfId="0" applyNumberFormat="1" applyFont="1" applyFill="1" applyBorder="1" applyAlignment="1">
      <alignment horizontal="left" vertical="center" wrapText="1"/>
    </xf>
    <xf numFmtId="14" fontId="11" fillId="2" borderId="9" xfId="0" applyNumberFormat="1" applyFont="1" applyFill="1" applyBorder="1" applyAlignment="1">
      <alignment horizontal="center" vertical="center" wrapText="1"/>
    </xf>
    <xf numFmtId="165" fontId="11" fillId="2" borderId="9" xfId="0" applyNumberFormat="1" applyFont="1" applyFill="1" applyBorder="1" applyAlignment="1">
      <alignment horizontal="center" vertical="center" wrapText="1"/>
    </xf>
    <xf numFmtId="3" fontId="11" fillId="2" borderId="9" xfId="0" applyNumberFormat="1" applyFont="1" applyFill="1" applyBorder="1" applyAlignment="1">
      <alignment horizontal="center" vertical="center" wrapText="1"/>
    </xf>
    <xf numFmtId="165" fontId="11" fillId="2" borderId="10" xfId="0" applyNumberFormat="1" applyFont="1" applyFill="1" applyBorder="1" applyAlignment="1">
      <alignment horizontal="center" vertical="center" wrapText="1"/>
    </xf>
    <xf numFmtId="166" fontId="11" fillId="2" borderId="10" xfId="0" applyNumberFormat="1" applyFont="1" applyFill="1" applyBorder="1" applyAlignment="1">
      <alignment horizontal="center" vertical="center"/>
    </xf>
    <xf numFmtId="14" fontId="11" fillId="2" borderId="11" xfId="0" applyNumberFormat="1" applyFont="1" applyFill="1" applyBorder="1" applyAlignment="1">
      <alignment horizontal="left" vertical="center" wrapText="1"/>
    </xf>
    <xf numFmtId="14" fontId="11" fillId="2" borderId="12" xfId="0" applyNumberFormat="1" applyFont="1" applyFill="1" applyBorder="1" applyAlignment="1">
      <alignment horizontal="center" vertical="center" wrapText="1"/>
    </xf>
    <xf numFmtId="3" fontId="11" fillId="2" borderId="12" xfId="0" applyNumberFormat="1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4" xfId="0" applyFont="1" applyBorder="1"/>
    <xf numFmtId="0" fontId="3" fillId="0" borderId="24" xfId="0" applyFont="1" applyBorder="1" applyAlignment="1">
      <alignment wrapText="1"/>
    </xf>
    <xf numFmtId="0" fontId="3" fillId="0" borderId="25" xfId="0" applyFont="1" applyBorder="1"/>
    <xf numFmtId="0" fontId="3" fillId="0" borderId="0" xfId="0" applyFont="1" applyAlignment="1">
      <alignment wrapText="1"/>
    </xf>
    <xf numFmtId="0" fontId="21" fillId="2" borderId="4" xfId="0" applyFont="1" applyFill="1" applyBorder="1"/>
    <xf numFmtId="0" fontId="22" fillId="2" borderId="4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1" fillId="2" borderId="4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wrapText="1"/>
    </xf>
    <xf numFmtId="0" fontId="21" fillId="2" borderId="4" xfId="0" applyFont="1" applyFill="1" applyBorder="1" applyAlignment="1">
      <alignment wrapText="1"/>
    </xf>
    <xf numFmtId="0" fontId="12" fillId="2" borderId="4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wrapText="1"/>
    </xf>
    <xf numFmtId="0" fontId="22" fillId="2" borderId="4" xfId="0" applyFont="1" applyFill="1" applyBorder="1" applyAlignment="1">
      <alignment horizontal="center" vertical="center" wrapText="1"/>
    </xf>
    <xf numFmtId="0" fontId="26" fillId="5" borderId="43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44" xfId="0" applyFont="1" applyFill="1" applyBorder="1" applyAlignment="1">
      <alignment horizontal="center" vertical="center" wrapText="1"/>
    </xf>
    <xf numFmtId="0" fontId="26" fillId="2" borderId="44" xfId="0" applyFont="1" applyFill="1" applyBorder="1" applyAlignment="1">
      <alignment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0" fillId="0" borderId="48" xfId="0" applyBorder="1"/>
    <xf numFmtId="165" fontId="11" fillId="2" borderId="13" xfId="0" applyNumberFormat="1" applyFont="1" applyFill="1" applyBorder="1" applyAlignment="1">
      <alignment horizontal="center" vertical="center" wrapText="1"/>
    </xf>
    <xf numFmtId="166" fontId="11" fillId="2" borderId="14" xfId="0" applyNumberFormat="1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7" borderId="49" xfId="0" applyFont="1" applyFill="1" applyBorder="1" applyAlignment="1">
      <alignment horizontal="center" vertical="center"/>
    </xf>
    <xf numFmtId="0" fontId="0" fillId="0" borderId="41" xfId="0" applyBorder="1"/>
    <xf numFmtId="0" fontId="18" fillId="11" borderId="16" xfId="0" applyFont="1" applyFill="1" applyBorder="1" applyAlignment="1">
      <alignment horizontal="center" vertical="center" wrapText="1"/>
    </xf>
    <xf numFmtId="0" fontId="18" fillId="11" borderId="15" xfId="0" applyFont="1" applyFill="1" applyBorder="1" applyAlignment="1">
      <alignment horizontal="center" vertical="center"/>
    </xf>
    <xf numFmtId="0" fontId="18" fillId="11" borderId="4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right" vertical="center"/>
    </xf>
    <xf numFmtId="14" fontId="6" fillId="2" borderId="61" xfId="0" applyNumberFormat="1" applyFont="1" applyFill="1" applyBorder="1" applyAlignment="1">
      <alignment horizontal="center" vertical="center" wrapText="1"/>
    </xf>
    <xf numFmtId="164" fontId="6" fillId="2" borderId="62" xfId="0" applyNumberFormat="1" applyFont="1" applyFill="1" applyBorder="1" applyAlignment="1">
      <alignment horizontal="center" vertical="center" wrapText="1"/>
    </xf>
    <xf numFmtId="14" fontId="6" fillId="2" borderId="62" xfId="0" applyNumberFormat="1" applyFont="1" applyFill="1" applyBorder="1" applyAlignment="1">
      <alignment horizontal="center" vertical="center" wrapText="1"/>
    </xf>
    <xf numFmtId="14" fontId="10" fillId="2" borderId="15" xfId="0" applyNumberFormat="1" applyFont="1" applyFill="1" applyBorder="1" applyAlignment="1">
      <alignment horizontal="left" vertical="center" wrapText="1"/>
    </xf>
    <xf numFmtId="14" fontId="10" fillId="2" borderId="16" xfId="0" applyNumberFormat="1" applyFont="1" applyFill="1" applyBorder="1" applyAlignment="1">
      <alignment horizontal="center" vertical="center" wrapText="1"/>
    </xf>
    <xf numFmtId="165" fontId="10" fillId="2" borderId="16" xfId="0" applyNumberFormat="1" applyFont="1" applyFill="1" applyBorder="1" applyAlignment="1">
      <alignment horizontal="center" vertical="center" wrapText="1"/>
    </xf>
    <xf numFmtId="3" fontId="10" fillId="2" borderId="16" xfId="0" applyNumberFormat="1" applyFont="1" applyFill="1" applyBorder="1" applyAlignment="1">
      <alignment horizontal="center" vertical="center" wrapText="1"/>
    </xf>
    <xf numFmtId="165" fontId="10" fillId="2" borderId="49" xfId="0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14" fontId="14" fillId="2" borderId="16" xfId="0" applyNumberFormat="1" applyFont="1" applyFill="1" applyBorder="1" applyAlignment="1">
      <alignment horizontal="center" vertical="center" wrapText="1"/>
    </xf>
    <xf numFmtId="164" fontId="14" fillId="2" borderId="16" xfId="0" applyNumberFormat="1" applyFont="1" applyFill="1" applyBorder="1" applyAlignment="1">
      <alignment horizontal="center" vertical="center" wrapText="1"/>
    </xf>
    <xf numFmtId="3" fontId="14" fillId="2" borderId="16" xfId="0" applyNumberFormat="1" applyFont="1" applyFill="1" applyBorder="1" applyAlignment="1">
      <alignment horizontal="center" vertical="center" wrapText="1"/>
    </xf>
    <xf numFmtId="167" fontId="10" fillId="2" borderId="64" xfId="0" applyNumberFormat="1" applyFont="1" applyFill="1" applyBorder="1" applyAlignment="1">
      <alignment horizontal="left" vertical="center"/>
    </xf>
    <xf numFmtId="167" fontId="9" fillId="2" borderId="65" xfId="0" applyNumberFormat="1" applyFont="1" applyFill="1" applyBorder="1" applyAlignment="1">
      <alignment horizontal="left" vertical="center"/>
    </xf>
    <xf numFmtId="0" fontId="21" fillId="2" borderId="41" xfId="0" applyFont="1" applyFill="1" applyBorder="1" applyAlignment="1">
      <alignment horizontal="center"/>
    </xf>
    <xf numFmtId="0" fontId="23" fillId="9" borderId="67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vertical="center"/>
    </xf>
    <xf numFmtId="0" fontId="18" fillId="2" borderId="4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left" vertical="center"/>
    </xf>
    <xf numFmtId="0" fontId="23" fillId="9" borderId="70" xfId="0" applyFont="1" applyFill="1" applyBorder="1" applyAlignment="1">
      <alignment horizontal="center" vertical="center"/>
    </xf>
    <xf numFmtId="0" fontId="21" fillId="13" borderId="75" xfId="0" applyFont="1" applyFill="1" applyBorder="1"/>
    <xf numFmtId="0" fontId="2" fillId="14" borderId="76" xfId="0" applyFont="1" applyFill="1" applyBorder="1"/>
    <xf numFmtId="0" fontId="21" fillId="0" borderId="41" xfId="0" applyFont="1" applyBorder="1" applyAlignment="1">
      <alignment wrapText="1"/>
    </xf>
    <xf numFmtId="0" fontId="12" fillId="2" borderId="41" xfId="0" applyFont="1" applyFill="1" applyBorder="1" applyAlignment="1">
      <alignment horizontal="center" vertical="center" wrapText="1"/>
    </xf>
    <xf numFmtId="0" fontId="26" fillId="2" borderId="41" xfId="0" applyFont="1" applyFill="1" applyBorder="1" applyAlignment="1">
      <alignment vertical="center" wrapText="1"/>
    </xf>
    <xf numFmtId="0" fontId="22" fillId="2" borderId="41" xfId="0" applyFont="1" applyFill="1" applyBorder="1" applyAlignment="1">
      <alignment horizontal="center" vertical="center" wrapText="1"/>
    </xf>
    <xf numFmtId="0" fontId="18" fillId="7" borderId="74" xfId="0" applyFont="1" applyFill="1" applyBorder="1" applyAlignment="1">
      <alignment horizontal="center" vertical="center"/>
    </xf>
    <xf numFmtId="0" fontId="12" fillId="7" borderId="77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2" xfId="0" applyBorder="1"/>
    <xf numFmtId="0" fontId="41" fillId="9" borderId="20" xfId="0" applyFont="1" applyFill="1" applyBorder="1" applyAlignment="1">
      <alignment horizontal="center" vertical="center"/>
    </xf>
    <xf numFmtId="0" fontId="40" fillId="9" borderId="79" xfId="0" applyFont="1" applyFill="1" applyBorder="1" applyAlignment="1">
      <alignment horizontal="left" vertical="center"/>
    </xf>
    <xf numFmtId="0" fontId="12" fillId="7" borderId="74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vertical="center" wrapText="1"/>
    </xf>
    <xf numFmtId="14" fontId="15" fillId="2" borderId="80" xfId="0" applyNumberFormat="1" applyFont="1" applyFill="1" applyBorder="1" applyAlignment="1">
      <alignment vertical="center" wrapText="1"/>
    </xf>
    <xf numFmtId="168" fontId="15" fillId="7" borderId="74" xfId="0" applyNumberFormat="1" applyFont="1" applyFill="1" applyBorder="1" applyAlignment="1">
      <alignment horizontal="center" vertical="center" wrapText="1"/>
    </xf>
    <xf numFmtId="168" fontId="26" fillId="7" borderId="74" xfId="0" applyNumberFormat="1" applyFont="1" applyFill="1" applyBorder="1" applyAlignment="1">
      <alignment horizontal="center" vertical="center" wrapText="1"/>
    </xf>
    <xf numFmtId="0" fontId="26" fillId="2" borderId="22" xfId="0" applyFont="1" applyFill="1" applyBorder="1" applyAlignment="1">
      <alignment vertical="center" wrapText="1"/>
    </xf>
    <xf numFmtId="168" fontId="26" fillId="7" borderId="77" xfId="0" applyNumberFormat="1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vertical="center" wrapText="1"/>
    </xf>
    <xf numFmtId="0" fontId="4" fillId="11" borderId="66" xfId="0" applyFont="1" applyFill="1" applyBorder="1" applyAlignment="1">
      <alignment horizontal="center" vertical="center"/>
    </xf>
    <xf numFmtId="0" fontId="21" fillId="14" borderId="41" xfId="0" applyFont="1" applyFill="1" applyBorder="1" applyAlignment="1">
      <alignment wrapText="1"/>
    </xf>
    <xf numFmtId="0" fontId="28" fillId="2" borderId="41" xfId="0" applyFont="1" applyFill="1" applyBorder="1" applyAlignment="1">
      <alignment wrapText="1"/>
    </xf>
    <xf numFmtId="0" fontId="21" fillId="2" borderId="41" xfId="0" applyFont="1" applyFill="1" applyBorder="1" applyAlignment="1">
      <alignment wrapText="1"/>
    </xf>
    <xf numFmtId="14" fontId="5" fillId="2" borderId="41" xfId="0" applyNumberFormat="1" applyFont="1" applyFill="1" applyBorder="1" applyAlignment="1">
      <alignment horizontal="right" vertical="center" wrapText="1"/>
    </xf>
    <xf numFmtId="14" fontId="5" fillId="2" borderId="41" xfId="0" applyNumberFormat="1" applyFont="1" applyFill="1" applyBorder="1" applyAlignment="1">
      <alignment horizontal="center" vertical="center" wrapText="1"/>
    </xf>
    <xf numFmtId="14" fontId="5" fillId="2" borderId="45" xfId="0" applyNumberFormat="1" applyFont="1" applyFill="1" applyBorder="1" applyAlignment="1">
      <alignment horizontal="center" vertical="center" wrapText="1"/>
    </xf>
    <xf numFmtId="0" fontId="42" fillId="15" borderId="84" xfId="0" applyFont="1" applyFill="1" applyBorder="1" applyAlignment="1">
      <alignment horizontal="center" vertical="center" wrapText="1"/>
    </xf>
    <xf numFmtId="0" fontId="42" fillId="15" borderId="85" xfId="0" applyFont="1" applyFill="1" applyBorder="1" applyAlignment="1">
      <alignment horizontal="center" vertical="center" wrapText="1"/>
    </xf>
    <xf numFmtId="0" fontId="42" fillId="15" borderId="86" xfId="0" applyFont="1" applyFill="1" applyBorder="1" applyAlignment="1">
      <alignment horizontal="center" vertical="center" wrapText="1"/>
    </xf>
    <xf numFmtId="0" fontId="42" fillId="15" borderId="87" xfId="0" applyFont="1" applyFill="1" applyBorder="1" applyAlignment="1">
      <alignment horizontal="center" vertical="center" wrapText="1"/>
    </xf>
    <xf numFmtId="0" fontId="42" fillId="15" borderId="88" xfId="0" applyFont="1" applyFill="1" applyBorder="1" applyAlignment="1">
      <alignment horizontal="center" vertical="center" wrapText="1"/>
    </xf>
    <xf numFmtId="0" fontId="42" fillId="15" borderId="89" xfId="0" applyFont="1" applyFill="1" applyBorder="1" applyAlignment="1">
      <alignment horizontal="center" vertical="center" wrapText="1"/>
    </xf>
    <xf numFmtId="3" fontId="7" fillId="2" borderId="16" xfId="0" applyNumberFormat="1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49" xfId="0" applyFont="1" applyBorder="1"/>
    <xf numFmtId="3" fontId="7" fillId="2" borderId="45" xfId="0" applyNumberFormat="1" applyFont="1" applyFill="1" applyBorder="1" applyAlignment="1">
      <alignment horizontal="center" vertical="center" wrapText="1"/>
    </xf>
    <xf numFmtId="0" fontId="2" fillId="0" borderId="45" xfId="0" applyFont="1" applyBorder="1"/>
    <xf numFmtId="0" fontId="2" fillId="0" borderId="47" xfId="0" applyFont="1" applyBorder="1"/>
    <xf numFmtId="0" fontId="37" fillId="9" borderId="15" xfId="0" applyFont="1" applyFill="1" applyBorder="1" applyAlignment="1">
      <alignment horizontal="center" vertical="center"/>
    </xf>
    <xf numFmtId="0" fontId="38" fillId="10" borderId="16" xfId="0" applyFont="1" applyFill="1" applyBorder="1"/>
    <xf numFmtId="0" fontId="38" fillId="10" borderId="49" xfId="0" applyFont="1" applyFill="1" applyBorder="1"/>
    <xf numFmtId="0" fontId="1" fillId="2" borderId="52" xfId="0" applyFont="1" applyFill="1" applyBorder="1" applyAlignment="1">
      <alignment horizontal="center" vertical="center"/>
    </xf>
    <xf numFmtId="0" fontId="2" fillId="0" borderId="53" xfId="0" applyFont="1" applyBorder="1"/>
    <xf numFmtId="0" fontId="36" fillId="2" borderId="53" xfId="0" applyFont="1" applyFill="1" applyBorder="1" applyAlignment="1">
      <alignment horizontal="center" vertical="center"/>
    </xf>
    <xf numFmtId="0" fontId="32" fillId="0" borderId="53" xfId="0" applyFont="1" applyBorder="1"/>
    <xf numFmtId="0" fontId="32" fillId="0" borderId="54" xfId="0" applyFont="1" applyBorder="1"/>
    <xf numFmtId="0" fontId="34" fillId="9" borderId="15" xfId="0" applyFont="1" applyFill="1" applyBorder="1" applyAlignment="1">
      <alignment horizontal="center" vertical="center"/>
    </xf>
    <xf numFmtId="0" fontId="34" fillId="10" borderId="16" xfId="0" applyFont="1" applyFill="1" applyBorder="1"/>
    <xf numFmtId="14" fontId="31" fillId="9" borderId="16" xfId="1" applyNumberFormat="1" applyFill="1" applyBorder="1" applyAlignment="1">
      <alignment horizontal="center" vertical="center" wrapText="1"/>
    </xf>
    <xf numFmtId="0" fontId="35" fillId="10" borderId="16" xfId="0" applyFont="1" applyFill="1" applyBorder="1"/>
    <xf numFmtId="0" fontId="33" fillId="9" borderId="16" xfId="0" applyFont="1" applyFill="1" applyBorder="1" applyAlignment="1">
      <alignment horizontal="right" vertical="center" wrapText="1"/>
    </xf>
    <xf numFmtId="0" fontId="21" fillId="10" borderId="16" xfId="0" applyFont="1" applyFill="1" applyBorder="1"/>
    <xf numFmtId="0" fontId="31" fillId="9" borderId="16" xfId="1" applyFill="1" applyBorder="1" applyAlignment="1">
      <alignment horizontal="center" vertical="center" shrinkToFit="1"/>
    </xf>
    <xf numFmtId="0" fontId="21" fillId="10" borderId="49" xfId="0" applyFont="1" applyFill="1" applyBorder="1"/>
    <xf numFmtId="0" fontId="2" fillId="0" borderId="16" xfId="0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14" fontId="8" fillId="2" borderId="15" xfId="0" applyNumberFormat="1" applyFont="1" applyFill="1" applyBorder="1" applyAlignment="1">
      <alignment horizontal="center" vertical="center" wrapText="1"/>
    </xf>
    <xf numFmtId="0" fontId="2" fillId="0" borderId="63" xfId="0" applyFont="1" applyBorder="1"/>
    <xf numFmtId="14" fontId="4" fillId="2" borderId="59" xfId="0" applyNumberFormat="1" applyFont="1" applyFill="1" applyBorder="1" applyAlignment="1">
      <alignment horizontal="center" vertical="center" wrapText="1"/>
    </xf>
    <xf numFmtId="14" fontId="4" fillId="2" borderId="46" xfId="0" applyNumberFormat="1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left" vertical="center" wrapText="1"/>
    </xf>
    <xf numFmtId="0" fontId="39" fillId="8" borderId="16" xfId="0" applyFont="1" applyFill="1" applyBorder="1" applyAlignment="1">
      <alignment horizontal="left"/>
    </xf>
    <xf numFmtId="49" fontId="13" fillId="2" borderId="16" xfId="0" applyNumberFormat="1" applyFont="1" applyFill="1" applyBorder="1" applyAlignment="1">
      <alignment horizontal="left" vertical="center" wrapText="1"/>
    </xf>
    <xf numFmtId="0" fontId="3" fillId="0" borderId="20" xfId="0" applyFont="1" applyBorder="1" applyAlignment="1">
      <alignment horizontal="center"/>
    </xf>
    <xf numFmtId="0" fontId="0" fillId="0" borderId="41" xfId="0" applyBorder="1"/>
    <xf numFmtId="0" fontId="2" fillId="0" borderId="22" xfId="0" applyFont="1" applyBorder="1"/>
    <xf numFmtId="0" fontId="16" fillId="2" borderId="56" xfId="0" applyFont="1" applyFill="1" applyBorder="1" applyAlignment="1">
      <alignment horizontal="right" vertical="center"/>
    </xf>
    <xf numFmtId="0" fontId="2" fillId="0" borderId="50" xfId="0" applyFont="1" applyBorder="1"/>
    <xf numFmtId="0" fontId="2" fillId="0" borderId="51" xfId="0" applyFont="1" applyBorder="1"/>
    <xf numFmtId="0" fontId="18" fillId="2" borderId="20" xfId="0" applyFont="1" applyFill="1" applyBorder="1" applyAlignment="1">
      <alignment horizontal="right" vertical="center"/>
    </xf>
    <xf numFmtId="0" fontId="2" fillId="0" borderId="41" xfId="0" applyFont="1" applyBorder="1"/>
    <xf numFmtId="0" fontId="2" fillId="0" borderId="60" xfId="0" applyFont="1" applyBorder="1"/>
    <xf numFmtId="0" fontId="19" fillId="9" borderId="57" xfId="0" applyFont="1" applyFill="1" applyBorder="1" applyAlignment="1">
      <alignment horizontal="center" vertical="center"/>
    </xf>
    <xf numFmtId="0" fontId="2" fillId="10" borderId="55" xfId="0" applyFont="1" applyFill="1" applyBorder="1"/>
    <xf numFmtId="0" fontId="2" fillId="10" borderId="58" xfId="0" applyFont="1" applyFill="1" applyBorder="1"/>
    <xf numFmtId="0" fontId="17" fillId="9" borderId="17" xfId="0" applyFont="1" applyFill="1" applyBorder="1" applyAlignment="1">
      <alignment horizontal="center" vertical="center"/>
    </xf>
    <xf numFmtId="0" fontId="2" fillId="10" borderId="18" xfId="0" applyFont="1" applyFill="1" applyBorder="1"/>
    <xf numFmtId="0" fontId="2" fillId="10" borderId="19" xfId="0" applyFont="1" applyFill="1" applyBorder="1"/>
    <xf numFmtId="0" fontId="21" fillId="2" borderId="41" xfId="0" applyFont="1" applyFill="1" applyBorder="1" applyAlignment="1">
      <alignment horizontal="center"/>
    </xf>
    <xf numFmtId="0" fontId="15" fillId="2" borderId="24" xfId="0" applyFont="1" applyFill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21" fillId="13" borderId="52" xfId="0" applyFont="1" applyFill="1" applyBorder="1" applyAlignment="1">
      <alignment horizontal="center"/>
    </xf>
    <xf numFmtId="0" fontId="2" fillId="14" borderId="53" xfId="0" applyFont="1" applyFill="1" applyBorder="1"/>
    <xf numFmtId="0" fontId="2" fillId="14" borderId="54" xfId="0" applyFont="1" applyFill="1" applyBorder="1"/>
    <xf numFmtId="0" fontId="40" fillId="9" borderId="27" xfId="0" applyFont="1" applyFill="1" applyBorder="1" applyAlignment="1">
      <alignment horizontal="left" vertical="center"/>
    </xf>
    <xf numFmtId="0" fontId="21" fillId="10" borderId="27" xfId="0" applyFont="1" applyFill="1" applyBorder="1"/>
    <xf numFmtId="0" fontId="21" fillId="10" borderId="69" xfId="0" applyFont="1" applyFill="1" applyBorder="1"/>
    <xf numFmtId="0" fontId="18" fillId="2" borderId="72" xfId="0" applyFont="1" applyFill="1" applyBorder="1" applyAlignment="1">
      <alignment horizontal="center" vertical="center" wrapText="1"/>
    </xf>
    <xf numFmtId="0" fontId="2" fillId="0" borderId="72" xfId="0" applyFont="1" applyBorder="1"/>
    <xf numFmtId="0" fontId="2" fillId="0" borderId="71" xfId="0" applyFont="1" applyBorder="1"/>
    <xf numFmtId="0" fontId="16" fillId="2" borderId="41" xfId="0" applyFont="1" applyFill="1" applyBorder="1" applyAlignment="1">
      <alignment horizontal="left" vertical="center"/>
    </xf>
    <xf numFmtId="0" fontId="40" fillId="9" borderId="28" xfId="0" applyFont="1" applyFill="1" applyBorder="1" applyAlignment="1">
      <alignment horizontal="left" vertical="center"/>
    </xf>
    <xf numFmtId="0" fontId="21" fillId="10" borderId="28" xfId="0" applyFont="1" applyFill="1" applyBorder="1"/>
    <xf numFmtId="0" fontId="21" fillId="10" borderId="68" xfId="0" applyFont="1" applyFill="1" applyBorder="1"/>
    <xf numFmtId="0" fontId="21" fillId="2" borderId="39" xfId="0" applyFont="1" applyFill="1" applyBorder="1" applyAlignment="1">
      <alignment horizontal="center"/>
    </xf>
    <xf numFmtId="0" fontId="2" fillId="0" borderId="40" xfId="0" applyFont="1" applyBorder="1"/>
    <xf numFmtId="0" fontId="2" fillId="0" borderId="21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" xfId="0" applyFont="1" applyBorder="1"/>
    <xf numFmtId="0" fontId="24" fillId="2" borderId="33" xfId="0" applyFont="1" applyFill="1" applyBorder="1" applyAlignment="1">
      <alignment horizontal="left" vertical="center"/>
    </xf>
    <xf numFmtId="0" fontId="2" fillId="0" borderId="34" xfId="0" applyFont="1" applyBorder="1"/>
    <xf numFmtId="0" fontId="2" fillId="0" borderId="35" xfId="0" applyFont="1" applyBorder="1"/>
    <xf numFmtId="0" fontId="26" fillId="2" borderId="36" xfId="0" applyFont="1" applyFill="1" applyBorder="1" applyAlignment="1">
      <alignment horizontal="left" vertical="center"/>
    </xf>
    <xf numFmtId="0" fontId="2" fillId="0" borderId="37" xfId="0" applyFont="1" applyBorder="1"/>
    <xf numFmtId="0" fontId="2" fillId="0" borderId="38" xfId="0" applyFont="1" applyBorder="1"/>
    <xf numFmtId="0" fontId="25" fillId="0" borderId="42" xfId="0" applyFont="1" applyBorder="1" applyAlignment="1">
      <alignment horizontal="center" vertical="center"/>
    </xf>
    <xf numFmtId="0" fontId="2" fillId="0" borderId="42" xfId="0" applyFont="1" applyBorder="1"/>
    <xf numFmtId="0" fontId="0" fillId="0" borderId="0" xfId="0"/>
    <xf numFmtId="0" fontId="12" fillId="3" borderId="23" xfId="0" applyFont="1" applyFill="1" applyBorder="1" applyAlignment="1">
      <alignment horizontal="center" vertical="center" wrapText="1"/>
    </xf>
    <xf numFmtId="0" fontId="2" fillId="0" borderId="81" xfId="0" applyFont="1" applyBorder="1"/>
    <xf numFmtId="0" fontId="29" fillId="9" borderId="52" xfId="0" applyFont="1" applyFill="1" applyBorder="1" applyAlignment="1">
      <alignment horizontal="center" vertical="center" wrapText="1"/>
    </xf>
    <xf numFmtId="0" fontId="2" fillId="10" borderId="82" xfId="0" applyFont="1" applyFill="1" applyBorder="1"/>
    <xf numFmtId="0" fontId="21" fillId="2" borderId="41" xfId="0" applyFont="1" applyFill="1" applyBorder="1" applyAlignment="1">
      <alignment horizontal="center" vertical="center" wrapText="1"/>
    </xf>
    <xf numFmtId="0" fontId="22" fillId="4" borderId="32" xfId="0" applyFont="1" applyFill="1" applyBorder="1" applyAlignment="1">
      <alignment horizontal="center" vertical="center" wrapText="1"/>
    </xf>
    <xf numFmtId="0" fontId="2" fillId="0" borderId="29" xfId="0" applyFont="1" applyBorder="1"/>
    <xf numFmtId="0" fontId="21" fillId="2" borderId="2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2" fillId="6" borderId="32" xfId="0" applyFont="1" applyFill="1" applyBorder="1" applyAlignment="1">
      <alignment horizontal="center" vertical="center" wrapText="1"/>
    </xf>
    <xf numFmtId="0" fontId="21" fillId="2" borderId="27" xfId="0" applyFont="1" applyFill="1" applyBorder="1" applyAlignment="1">
      <alignment horizontal="center" vertical="center" wrapText="1"/>
    </xf>
    <xf numFmtId="0" fontId="2" fillId="0" borderId="26" xfId="0" applyFont="1" applyBorder="1"/>
    <xf numFmtId="0" fontId="4" fillId="2" borderId="24" xfId="0" applyFont="1" applyFill="1" applyBorder="1" applyAlignment="1">
      <alignment horizontal="center" vertical="center"/>
    </xf>
    <xf numFmtId="0" fontId="1" fillId="13" borderId="52" xfId="0" applyFont="1" applyFill="1" applyBorder="1" applyAlignment="1">
      <alignment horizontal="center" vertical="center"/>
    </xf>
    <xf numFmtId="0" fontId="20" fillId="13" borderId="53" xfId="0" applyFont="1" applyFill="1" applyBorder="1" applyAlignment="1">
      <alignment horizontal="center" vertical="center"/>
    </xf>
    <xf numFmtId="0" fontId="5" fillId="12" borderId="78" xfId="0" applyFont="1" applyFill="1" applyBorder="1" applyAlignment="1">
      <alignment horizontal="center" vertical="center"/>
    </xf>
    <xf numFmtId="0" fontId="2" fillId="10" borderId="73" xfId="0" applyFont="1" applyFill="1" applyBorder="1"/>
    <xf numFmtId="14" fontId="5" fillId="12" borderId="73" xfId="0" applyNumberFormat="1" applyFont="1" applyFill="1" applyBorder="1" applyAlignment="1">
      <alignment horizontal="center" vertical="center" wrapText="1"/>
    </xf>
    <xf numFmtId="0" fontId="4" fillId="12" borderId="73" xfId="0" applyFont="1" applyFill="1" applyBorder="1" applyAlignment="1">
      <alignment horizontal="right" vertical="center" wrapText="1"/>
    </xf>
    <xf numFmtId="0" fontId="10" fillId="12" borderId="73" xfId="0" applyFont="1" applyFill="1" applyBorder="1" applyAlignment="1">
      <alignment horizontal="center" vertical="center" shrinkToFit="1"/>
    </xf>
    <xf numFmtId="0" fontId="2" fillId="10" borderId="83" xfId="0" applyFont="1" applyFill="1" applyBorder="1"/>
    <xf numFmtId="0" fontId="5" fillId="2" borderId="16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42"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colors>
    <mruColors>
      <color rgb="FFE3F8F9"/>
      <color rgb="FF22BF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47625</xdr:rowOff>
    </xdr:from>
    <xdr:ext cx="3190875" cy="175260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4337050</xdr:colOff>
      <xdr:row>12</xdr:row>
      <xdr:rowOff>47625</xdr:rowOff>
    </xdr:from>
    <xdr:ext cx="1609725" cy="1076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72250" y="6219825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1552575</xdr:colOff>
      <xdr:row>12</xdr:row>
      <xdr:rowOff>0</xdr:rowOff>
    </xdr:from>
    <xdr:ext cx="4419600" cy="1038225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38100</xdr:colOff>
      <xdr:row>0</xdr:row>
      <xdr:rowOff>241300</xdr:rowOff>
    </xdr:from>
    <xdr:to>
      <xdr:col>2</xdr:col>
      <xdr:colOff>2298700</xdr:colOff>
      <xdr:row>2</xdr:row>
      <xdr:rowOff>114300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04118869-1677-8DE1-9F69-0A76395D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73300" y="241300"/>
          <a:ext cx="2260600" cy="1270000"/>
        </a:xfrm>
        <a:prstGeom prst="rect">
          <a:avLst/>
        </a:prstGeom>
      </xdr:spPr>
    </xdr:pic>
    <xdr:clientData/>
  </xdr:twoCellAnchor>
  <xdr:oneCellAnchor>
    <xdr:from>
      <xdr:col>2</xdr:col>
      <xdr:colOff>38100</xdr:colOff>
      <xdr:row>15</xdr:row>
      <xdr:rowOff>241300</xdr:rowOff>
    </xdr:from>
    <xdr:ext cx="2260600" cy="1270000"/>
    <xdr:pic>
      <xdr:nvPicPr>
        <xdr:cNvPr id="52" name="Imagen 51">
          <a:extLst>
            <a:ext uri="{FF2B5EF4-FFF2-40B4-BE49-F238E27FC236}">
              <a16:creationId xmlns:a16="http://schemas.microsoft.com/office/drawing/2014/main" id="{48B55511-68BE-4048-9EF4-3EB5E94DE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73300" y="2413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31</xdr:row>
      <xdr:rowOff>241300</xdr:rowOff>
    </xdr:from>
    <xdr:ext cx="2260600" cy="1270000"/>
    <xdr:pic>
      <xdr:nvPicPr>
        <xdr:cNvPr id="14" name="Imagen 50">
          <a:extLst>
            <a:ext uri="{FF2B5EF4-FFF2-40B4-BE49-F238E27FC236}">
              <a16:creationId xmlns:a16="http://schemas.microsoft.com/office/drawing/2014/main" id="{2E47331A-5C1B-4C4B-8192-A22A2868A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2800" y="2413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31</xdr:row>
      <xdr:rowOff>241300</xdr:rowOff>
    </xdr:from>
    <xdr:ext cx="2260600" cy="1270000"/>
    <xdr:pic>
      <xdr:nvPicPr>
        <xdr:cNvPr id="50" name="Imagen 51">
          <a:extLst>
            <a:ext uri="{FF2B5EF4-FFF2-40B4-BE49-F238E27FC236}">
              <a16:creationId xmlns:a16="http://schemas.microsoft.com/office/drawing/2014/main" id="{56FB2056-F1D8-4893-BBDB-4CA0A440D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2800" y="765175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46</xdr:row>
      <xdr:rowOff>241300</xdr:rowOff>
    </xdr:from>
    <xdr:ext cx="2260600" cy="1270000"/>
    <xdr:pic>
      <xdr:nvPicPr>
        <xdr:cNvPr id="53" name="Imagen 50">
          <a:extLst>
            <a:ext uri="{FF2B5EF4-FFF2-40B4-BE49-F238E27FC236}">
              <a16:creationId xmlns:a16="http://schemas.microsoft.com/office/drawing/2014/main" id="{C5C90E03-2E9E-4310-9CAD-2BF0A0769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2800" y="2413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508000</xdr:rowOff>
    </xdr:from>
    <xdr:ext cx="2260600" cy="1270000"/>
    <xdr:pic>
      <xdr:nvPicPr>
        <xdr:cNvPr id="54" name="Imagen 50">
          <a:extLst>
            <a:ext uri="{FF2B5EF4-FFF2-40B4-BE49-F238E27FC236}">
              <a16:creationId xmlns:a16="http://schemas.microsoft.com/office/drawing/2014/main" id="{9E268DE7-3F65-4710-9F45-D4F62DD4A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4700" y="3380105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76</xdr:row>
      <xdr:rowOff>241300</xdr:rowOff>
    </xdr:from>
    <xdr:ext cx="2260600" cy="1270000"/>
    <xdr:pic>
      <xdr:nvPicPr>
        <xdr:cNvPr id="55" name="Imagen 50">
          <a:extLst>
            <a:ext uri="{FF2B5EF4-FFF2-40B4-BE49-F238E27FC236}">
              <a16:creationId xmlns:a16="http://schemas.microsoft.com/office/drawing/2014/main" id="{18ABBA08-008E-4A86-A3CD-D8625AE79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2800" y="2413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91</xdr:row>
      <xdr:rowOff>241300</xdr:rowOff>
    </xdr:from>
    <xdr:ext cx="2260600" cy="1270000"/>
    <xdr:pic>
      <xdr:nvPicPr>
        <xdr:cNvPr id="56" name="Imagen 50">
          <a:extLst>
            <a:ext uri="{FF2B5EF4-FFF2-40B4-BE49-F238E27FC236}">
              <a16:creationId xmlns:a16="http://schemas.microsoft.com/office/drawing/2014/main" id="{3F1CBD39-D4DC-48E6-808D-98301BFEE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2800" y="2413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106</xdr:row>
      <xdr:rowOff>241300</xdr:rowOff>
    </xdr:from>
    <xdr:ext cx="2260600" cy="1270000"/>
    <xdr:pic>
      <xdr:nvPicPr>
        <xdr:cNvPr id="57" name="Imagen 50">
          <a:extLst>
            <a:ext uri="{FF2B5EF4-FFF2-40B4-BE49-F238E27FC236}">
              <a16:creationId xmlns:a16="http://schemas.microsoft.com/office/drawing/2014/main" id="{EE93146A-6E3F-44D6-95A2-E625D2846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2800" y="2413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121</xdr:row>
      <xdr:rowOff>241300</xdr:rowOff>
    </xdr:from>
    <xdr:ext cx="2260600" cy="1270000"/>
    <xdr:pic>
      <xdr:nvPicPr>
        <xdr:cNvPr id="58" name="Imagen 50">
          <a:extLst>
            <a:ext uri="{FF2B5EF4-FFF2-40B4-BE49-F238E27FC236}">
              <a16:creationId xmlns:a16="http://schemas.microsoft.com/office/drawing/2014/main" id="{21568CFA-3AD7-4959-9CC5-030B659BB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2800" y="241300"/>
          <a:ext cx="2260600" cy="1270000"/>
        </a:xfrm>
        <a:prstGeom prst="rect">
          <a:avLst/>
        </a:prstGeom>
      </xdr:spPr>
    </xdr:pic>
    <xdr:clientData/>
  </xdr:oneCellAnchor>
  <xdr:oneCellAnchor>
    <xdr:from>
      <xdr:col>1</xdr:col>
      <xdr:colOff>1600200</xdr:colOff>
      <xdr:row>27</xdr:row>
      <xdr:rowOff>6350</xdr:rowOff>
    </xdr:from>
    <xdr:ext cx="4419600" cy="1038225"/>
    <xdr:pic>
      <xdr:nvPicPr>
        <xdr:cNvPr id="59" name="image2.png">
          <a:extLst>
            <a:ext uri="{FF2B5EF4-FFF2-40B4-BE49-F238E27FC236}">
              <a16:creationId xmlns:a16="http://schemas.microsoft.com/office/drawing/2014/main" id="{FC2AC3DC-53B0-45C4-A7FD-46E39876F00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54200" y="1364615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4318000</xdr:colOff>
      <xdr:row>27</xdr:row>
      <xdr:rowOff>44450</xdr:rowOff>
    </xdr:from>
    <xdr:ext cx="1609725" cy="1076325"/>
    <xdr:pic>
      <xdr:nvPicPr>
        <xdr:cNvPr id="60" name="image1.png">
          <a:extLst>
            <a:ext uri="{FF2B5EF4-FFF2-40B4-BE49-F238E27FC236}">
              <a16:creationId xmlns:a16="http://schemas.microsoft.com/office/drawing/2014/main" id="{5108050B-D054-474F-9D64-B5391EA1AC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62700" y="1368425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4387850</xdr:colOff>
      <xdr:row>43</xdr:row>
      <xdr:rowOff>63500</xdr:rowOff>
    </xdr:from>
    <xdr:ext cx="1609725" cy="1076325"/>
    <xdr:pic>
      <xdr:nvPicPr>
        <xdr:cNvPr id="61" name="image1.png">
          <a:extLst>
            <a:ext uri="{FF2B5EF4-FFF2-40B4-BE49-F238E27FC236}">
              <a16:creationId xmlns:a16="http://schemas.microsoft.com/office/drawing/2014/main" id="{64D9EA4C-CAA3-468A-B16F-C61DE178F0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32550" y="2288540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4324350</xdr:colOff>
      <xdr:row>58</xdr:row>
      <xdr:rowOff>57150</xdr:rowOff>
    </xdr:from>
    <xdr:ext cx="1609725" cy="1076325"/>
    <xdr:pic>
      <xdr:nvPicPr>
        <xdr:cNvPr id="62" name="image1.png">
          <a:extLst>
            <a:ext uri="{FF2B5EF4-FFF2-40B4-BE49-F238E27FC236}">
              <a16:creationId xmlns:a16="http://schemas.microsoft.com/office/drawing/2014/main" id="{D9B711B6-0586-4315-B20E-7D318E50A6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69050" y="3197860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4343400</xdr:colOff>
      <xdr:row>73</xdr:row>
      <xdr:rowOff>50800</xdr:rowOff>
    </xdr:from>
    <xdr:ext cx="1609725" cy="1076325"/>
    <xdr:pic>
      <xdr:nvPicPr>
        <xdr:cNvPr id="63" name="image1.png">
          <a:extLst>
            <a:ext uri="{FF2B5EF4-FFF2-40B4-BE49-F238E27FC236}">
              <a16:creationId xmlns:a16="http://schemas.microsoft.com/office/drawing/2014/main" id="{DEA560C2-9DA1-4631-9D5B-37DEF206B9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88100" y="4035425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4356100</xdr:colOff>
      <xdr:row>88</xdr:row>
      <xdr:rowOff>50800</xdr:rowOff>
    </xdr:from>
    <xdr:ext cx="1609725" cy="1076325"/>
    <xdr:pic>
      <xdr:nvPicPr>
        <xdr:cNvPr id="64" name="image1.png">
          <a:extLst>
            <a:ext uri="{FF2B5EF4-FFF2-40B4-BE49-F238E27FC236}">
              <a16:creationId xmlns:a16="http://schemas.microsoft.com/office/drawing/2014/main" id="{62F4273F-7A45-48AD-BF49-00BAA4D953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00800" y="4953000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4337050</xdr:colOff>
      <xdr:row>103</xdr:row>
      <xdr:rowOff>63500</xdr:rowOff>
    </xdr:from>
    <xdr:ext cx="1609725" cy="1076325"/>
    <xdr:pic>
      <xdr:nvPicPr>
        <xdr:cNvPr id="65" name="image1.png">
          <a:extLst>
            <a:ext uri="{FF2B5EF4-FFF2-40B4-BE49-F238E27FC236}">
              <a16:creationId xmlns:a16="http://schemas.microsoft.com/office/drawing/2014/main" id="{FC416796-6218-481F-8D95-F37A03346D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81750" y="5805170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4330700</xdr:colOff>
      <xdr:row>118</xdr:row>
      <xdr:rowOff>44450</xdr:rowOff>
    </xdr:from>
    <xdr:ext cx="1609725" cy="1076325"/>
    <xdr:pic>
      <xdr:nvPicPr>
        <xdr:cNvPr id="66" name="image1.png">
          <a:extLst>
            <a:ext uri="{FF2B5EF4-FFF2-40B4-BE49-F238E27FC236}">
              <a16:creationId xmlns:a16="http://schemas.microsoft.com/office/drawing/2014/main" id="{8DC0C542-639F-4EDE-911F-0E320AD309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75400" y="6661150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4273550</xdr:colOff>
      <xdr:row>133</xdr:row>
      <xdr:rowOff>44450</xdr:rowOff>
    </xdr:from>
    <xdr:ext cx="1609725" cy="1076325"/>
    <xdr:pic>
      <xdr:nvPicPr>
        <xdr:cNvPr id="67" name="image1.png">
          <a:extLst>
            <a:ext uri="{FF2B5EF4-FFF2-40B4-BE49-F238E27FC236}">
              <a16:creationId xmlns:a16="http://schemas.microsoft.com/office/drawing/2014/main" id="{FAB0F425-03E6-4520-8871-ECCF728515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18250" y="7495540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1549400</xdr:colOff>
      <xdr:row>42</xdr:row>
      <xdr:rowOff>495300</xdr:rowOff>
    </xdr:from>
    <xdr:ext cx="4419600" cy="1038225"/>
    <xdr:pic>
      <xdr:nvPicPr>
        <xdr:cNvPr id="68" name="image2.png">
          <a:extLst>
            <a:ext uri="{FF2B5EF4-FFF2-40B4-BE49-F238E27FC236}">
              <a16:creationId xmlns:a16="http://schemas.microsoft.com/office/drawing/2014/main" id="{0E7A0B41-DCEB-4CF4-9C41-44D81EA2501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03400" y="2281555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1517650</xdr:colOff>
      <xdr:row>58</xdr:row>
      <xdr:rowOff>6350</xdr:rowOff>
    </xdr:from>
    <xdr:ext cx="4419600" cy="1038225"/>
    <xdr:pic>
      <xdr:nvPicPr>
        <xdr:cNvPr id="69" name="image2.png">
          <a:extLst>
            <a:ext uri="{FF2B5EF4-FFF2-40B4-BE49-F238E27FC236}">
              <a16:creationId xmlns:a16="http://schemas.microsoft.com/office/drawing/2014/main" id="{3C2CAF6F-17A4-4C7E-BEC9-E58276AC2E4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1650" y="3192780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1492250</xdr:colOff>
      <xdr:row>73</xdr:row>
      <xdr:rowOff>6350</xdr:rowOff>
    </xdr:from>
    <xdr:ext cx="4419600" cy="1038225"/>
    <xdr:pic>
      <xdr:nvPicPr>
        <xdr:cNvPr id="70" name="image2.png">
          <a:extLst>
            <a:ext uri="{FF2B5EF4-FFF2-40B4-BE49-F238E27FC236}">
              <a16:creationId xmlns:a16="http://schemas.microsoft.com/office/drawing/2014/main" id="{0AAA04AD-C032-4518-8DC0-0D497950B9A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46250" y="4030980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1435100</xdr:colOff>
      <xdr:row>87</xdr:row>
      <xdr:rowOff>495300</xdr:rowOff>
    </xdr:from>
    <xdr:ext cx="4419600" cy="1038225"/>
    <xdr:pic>
      <xdr:nvPicPr>
        <xdr:cNvPr id="71" name="image2.png">
          <a:extLst>
            <a:ext uri="{FF2B5EF4-FFF2-40B4-BE49-F238E27FC236}">
              <a16:creationId xmlns:a16="http://schemas.microsoft.com/office/drawing/2014/main" id="{02A54EF1-C6A5-424C-AC84-9B020A0B2CA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89100" y="4947285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1460500</xdr:colOff>
      <xdr:row>102</xdr:row>
      <xdr:rowOff>495300</xdr:rowOff>
    </xdr:from>
    <xdr:ext cx="4419600" cy="1038225"/>
    <xdr:pic>
      <xdr:nvPicPr>
        <xdr:cNvPr id="72" name="image2.png">
          <a:extLst>
            <a:ext uri="{FF2B5EF4-FFF2-40B4-BE49-F238E27FC236}">
              <a16:creationId xmlns:a16="http://schemas.microsoft.com/office/drawing/2014/main" id="{5C753CC6-2D30-4385-97FD-7BAAD0A04BD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00" y="5798185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1498600</xdr:colOff>
      <xdr:row>118</xdr:row>
      <xdr:rowOff>6350</xdr:rowOff>
    </xdr:from>
    <xdr:ext cx="4419600" cy="1038225"/>
    <xdr:pic>
      <xdr:nvPicPr>
        <xdr:cNvPr id="73" name="image2.png">
          <a:extLst>
            <a:ext uri="{FF2B5EF4-FFF2-40B4-BE49-F238E27FC236}">
              <a16:creationId xmlns:a16="http://schemas.microsoft.com/office/drawing/2014/main" id="{FEB29066-3627-4389-BE7B-8EEF166EA64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52600" y="6657340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1524000</xdr:colOff>
      <xdr:row>132</xdr:row>
      <xdr:rowOff>495300</xdr:rowOff>
    </xdr:from>
    <xdr:ext cx="4419600" cy="1038225"/>
    <xdr:pic>
      <xdr:nvPicPr>
        <xdr:cNvPr id="74" name="image2.png">
          <a:extLst>
            <a:ext uri="{FF2B5EF4-FFF2-40B4-BE49-F238E27FC236}">
              <a16:creationId xmlns:a16="http://schemas.microsoft.com/office/drawing/2014/main" id="{9E703978-FDE7-4DEF-97F0-D1DFDD230AE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0" y="7490460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136</xdr:row>
      <xdr:rowOff>241300</xdr:rowOff>
    </xdr:from>
    <xdr:ext cx="2260600" cy="1270000"/>
    <xdr:pic>
      <xdr:nvPicPr>
        <xdr:cNvPr id="3" name="Imagen 50">
          <a:extLst>
            <a:ext uri="{FF2B5EF4-FFF2-40B4-BE49-F238E27FC236}">
              <a16:creationId xmlns:a16="http://schemas.microsoft.com/office/drawing/2014/main" id="{D2EBBBAB-BFC0-489C-A085-7ACE214BA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2800" y="689229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151</xdr:row>
      <xdr:rowOff>241300</xdr:rowOff>
    </xdr:from>
    <xdr:ext cx="2260600" cy="1270000"/>
    <xdr:pic>
      <xdr:nvPicPr>
        <xdr:cNvPr id="4" name="Imagen 50">
          <a:extLst>
            <a:ext uri="{FF2B5EF4-FFF2-40B4-BE49-F238E27FC236}">
              <a16:creationId xmlns:a16="http://schemas.microsoft.com/office/drawing/2014/main" id="{6B333640-995E-43E1-8BCD-50997201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2800" y="689229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166</xdr:row>
      <xdr:rowOff>469900</xdr:rowOff>
    </xdr:from>
    <xdr:ext cx="2260600" cy="1270000"/>
    <xdr:pic>
      <xdr:nvPicPr>
        <xdr:cNvPr id="5" name="Imagen 50">
          <a:extLst>
            <a:ext uri="{FF2B5EF4-FFF2-40B4-BE49-F238E27FC236}">
              <a16:creationId xmlns:a16="http://schemas.microsoft.com/office/drawing/2014/main" id="{BF819C29-C4B1-455C-A59D-FCE0B07EE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08200" y="9425305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69850</xdr:colOff>
      <xdr:row>181</xdr:row>
      <xdr:rowOff>406400</xdr:rowOff>
    </xdr:from>
    <xdr:ext cx="2260600" cy="1270000"/>
    <xdr:pic>
      <xdr:nvPicPr>
        <xdr:cNvPr id="15" name="Imagen 50">
          <a:extLst>
            <a:ext uri="{FF2B5EF4-FFF2-40B4-BE49-F238E27FC236}">
              <a16:creationId xmlns:a16="http://schemas.microsoft.com/office/drawing/2014/main" id="{AB3E6E77-41D9-40AB-93A2-6A16362EB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4550" y="1030605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196</xdr:row>
      <xdr:rowOff>241300</xdr:rowOff>
    </xdr:from>
    <xdr:ext cx="2260600" cy="1270000"/>
    <xdr:pic>
      <xdr:nvPicPr>
        <xdr:cNvPr id="16" name="Imagen 50">
          <a:extLst>
            <a:ext uri="{FF2B5EF4-FFF2-40B4-BE49-F238E27FC236}">
              <a16:creationId xmlns:a16="http://schemas.microsoft.com/office/drawing/2014/main" id="{69712324-A272-4367-A409-06BAF4454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2800" y="689229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211</xdr:row>
      <xdr:rowOff>387350</xdr:rowOff>
    </xdr:from>
    <xdr:ext cx="2260600" cy="1270000"/>
    <xdr:pic>
      <xdr:nvPicPr>
        <xdr:cNvPr id="17" name="Imagen 50">
          <a:extLst>
            <a:ext uri="{FF2B5EF4-FFF2-40B4-BE49-F238E27FC236}">
              <a16:creationId xmlns:a16="http://schemas.microsoft.com/office/drawing/2014/main" id="{A2BDE629-C530-47A9-82A0-F0F715D5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3750" y="1201039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226</xdr:row>
      <xdr:rowOff>368300</xdr:rowOff>
    </xdr:from>
    <xdr:ext cx="2260600" cy="1270000"/>
    <xdr:pic>
      <xdr:nvPicPr>
        <xdr:cNvPr id="18" name="Imagen 50">
          <a:extLst>
            <a:ext uri="{FF2B5EF4-FFF2-40B4-BE49-F238E27FC236}">
              <a16:creationId xmlns:a16="http://schemas.microsoft.com/office/drawing/2014/main" id="{8EB9C301-08C4-4DD6-B424-834ABAC78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3750" y="128809750"/>
          <a:ext cx="2260600" cy="1270000"/>
        </a:xfrm>
        <a:prstGeom prst="rect">
          <a:avLst/>
        </a:prstGeom>
      </xdr:spPr>
    </xdr:pic>
    <xdr:clientData/>
  </xdr:oneCellAnchor>
  <xdr:oneCellAnchor>
    <xdr:from>
      <xdr:col>1</xdr:col>
      <xdr:colOff>1492250</xdr:colOff>
      <xdr:row>148</xdr:row>
      <xdr:rowOff>12700</xdr:rowOff>
    </xdr:from>
    <xdr:ext cx="4419600" cy="1038225"/>
    <xdr:pic>
      <xdr:nvPicPr>
        <xdr:cNvPr id="19" name="image2.png">
          <a:extLst>
            <a:ext uri="{FF2B5EF4-FFF2-40B4-BE49-F238E27FC236}">
              <a16:creationId xmlns:a16="http://schemas.microsoft.com/office/drawing/2014/main" id="{28E2111D-74CD-45C7-AB98-D2114F6F432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46250" y="8328660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1530350</xdr:colOff>
      <xdr:row>163</xdr:row>
      <xdr:rowOff>0</xdr:rowOff>
    </xdr:from>
    <xdr:ext cx="4419600" cy="1038225"/>
    <xdr:pic>
      <xdr:nvPicPr>
        <xdr:cNvPr id="20" name="image2.png">
          <a:extLst>
            <a:ext uri="{FF2B5EF4-FFF2-40B4-BE49-F238E27FC236}">
              <a16:creationId xmlns:a16="http://schemas.microsoft.com/office/drawing/2014/main" id="{707EBCB4-F837-4D60-A295-D9A3630450D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84350" y="9175750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1549400</xdr:colOff>
      <xdr:row>178</xdr:row>
      <xdr:rowOff>6350</xdr:rowOff>
    </xdr:from>
    <xdr:ext cx="4419600" cy="1038225"/>
    <xdr:pic>
      <xdr:nvPicPr>
        <xdr:cNvPr id="21" name="image2.png">
          <a:extLst>
            <a:ext uri="{FF2B5EF4-FFF2-40B4-BE49-F238E27FC236}">
              <a16:creationId xmlns:a16="http://schemas.microsoft.com/office/drawing/2014/main" id="{7B0CBBB4-7FFB-4CC5-85B8-F4F90E97D22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03400" y="10034270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1555750</xdr:colOff>
      <xdr:row>193</xdr:row>
      <xdr:rowOff>6350</xdr:rowOff>
    </xdr:from>
    <xdr:ext cx="4419600" cy="1038225"/>
    <xdr:pic>
      <xdr:nvPicPr>
        <xdr:cNvPr id="22" name="image2.png">
          <a:extLst>
            <a:ext uri="{FF2B5EF4-FFF2-40B4-BE49-F238E27FC236}">
              <a16:creationId xmlns:a16="http://schemas.microsoft.com/office/drawing/2014/main" id="{906319DF-F434-4C7D-BB2F-A9565201098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09750" y="10911205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1517650</xdr:colOff>
      <xdr:row>208</xdr:row>
      <xdr:rowOff>6350</xdr:rowOff>
    </xdr:from>
    <xdr:ext cx="4419600" cy="1038225"/>
    <xdr:pic>
      <xdr:nvPicPr>
        <xdr:cNvPr id="23" name="image2.png">
          <a:extLst>
            <a:ext uri="{FF2B5EF4-FFF2-40B4-BE49-F238E27FC236}">
              <a16:creationId xmlns:a16="http://schemas.microsoft.com/office/drawing/2014/main" id="{D57BF704-6A15-4E77-89D9-69D2145512D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1650" y="11753215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1543050</xdr:colOff>
      <xdr:row>223</xdr:row>
      <xdr:rowOff>0</xdr:rowOff>
    </xdr:from>
    <xdr:ext cx="4419600" cy="1038225"/>
    <xdr:pic>
      <xdr:nvPicPr>
        <xdr:cNvPr id="24" name="image2.png">
          <a:extLst>
            <a:ext uri="{FF2B5EF4-FFF2-40B4-BE49-F238E27FC236}">
              <a16:creationId xmlns:a16="http://schemas.microsoft.com/office/drawing/2014/main" id="{DB87766E-CBF0-405D-9BD3-BE790016C0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97050" y="12604750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1504950</xdr:colOff>
      <xdr:row>238</xdr:row>
      <xdr:rowOff>12700</xdr:rowOff>
    </xdr:from>
    <xdr:ext cx="4419600" cy="1038225"/>
    <xdr:pic>
      <xdr:nvPicPr>
        <xdr:cNvPr id="25" name="image2.png">
          <a:extLst>
            <a:ext uri="{FF2B5EF4-FFF2-40B4-BE49-F238E27FC236}">
              <a16:creationId xmlns:a16="http://schemas.microsoft.com/office/drawing/2014/main" id="{605199E5-0A88-462F-A33B-480777FC8F4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58950" y="134893050"/>
          <a:ext cx="4419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4279900</xdr:colOff>
      <xdr:row>148</xdr:row>
      <xdr:rowOff>44450</xdr:rowOff>
    </xdr:from>
    <xdr:ext cx="1609725" cy="1076325"/>
    <xdr:pic>
      <xdr:nvPicPr>
        <xdr:cNvPr id="26" name="image1.png">
          <a:extLst>
            <a:ext uri="{FF2B5EF4-FFF2-40B4-BE49-F238E27FC236}">
              <a16:creationId xmlns:a16="http://schemas.microsoft.com/office/drawing/2014/main" id="{7F9C6CC5-B7D4-4778-B535-9A38B9A3D3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24600" y="8331835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4279900</xdr:colOff>
      <xdr:row>163</xdr:row>
      <xdr:rowOff>50800</xdr:rowOff>
    </xdr:from>
    <xdr:ext cx="1609725" cy="1076325"/>
    <xdr:pic>
      <xdr:nvPicPr>
        <xdr:cNvPr id="27" name="image1.png">
          <a:extLst>
            <a:ext uri="{FF2B5EF4-FFF2-40B4-BE49-F238E27FC236}">
              <a16:creationId xmlns:a16="http://schemas.microsoft.com/office/drawing/2014/main" id="{7286BC98-20A3-4699-9285-7EEE8082A2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24600" y="9180830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4286250</xdr:colOff>
      <xdr:row>178</xdr:row>
      <xdr:rowOff>38100</xdr:rowOff>
    </xdr:from>
    <xdr:ext cx="1609725" cy="1076325"/>
    <xdr:pic>
      <xdr:nvPicPr>
        <xdr:cNvPr id="35" name="image1.png">
          <a:extLst>
            <a:ext uri="{FF2B5EF4-FFF2-40B4-BE49-F238E27FC236}">
              <a16:creationId xmlns:a16="http://schemas.microsoft.com/office/drawing/2014/main" id="{299DA438-8FAC-41FB-A052-4E62866CCE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30950" y="10037445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4279900</xdr:colOff>
      <xdr:row>193</xdr:row>
      <xdr:rowOff>50800</xdr:rowOff>
    </xdr:from>
    <xdr:ext cx="1609725" cy="1076325"/>
    <xdr:pic>
      <xdr:nvPicPr>
        <xdr:cNvPr id="36" name="image1.png">
          <a:extLst>
            <a:ext uri="{FF2B5EF4-FFF2-40B4-BE49-F238E27FC236}">
              <a16:creationId xmlns:a16="http://schemas.microsoft.com/office/drawing/2014/main" id="{21BD6320-E066-4D66-8EC7-802B526651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24600" y="10915650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4260850</xdr:colOff>
      <xdr:row>208</xdr:row>
      <xdr:rowOff>50800</xdr:rowOff>
    </xdr:from>
    <xdr:ext cx="1609725" cy="1076325"/>
    <xdr:pic>
      <xdr:nvPicPr>
        <xdr:cNvPr id="37" name="image1.png">
          <a:extLst>
            <a:ext uri="{FF2B5EF4-FFF2-40B4-BE49-F238E27FC236}">
              <a16:creationId xmlns:a16="http://schemas.microsoft.com/office/drawing/2014/main" id="{0197EA55-2F54-49DC-B799-9092BE8504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05550" y="11757660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4203700</xdr:colOff>
      <xdr:row>223</xdr:row>
      <xdr:rowOff>38100</xdr:rowOff>
    </xdr:from>
    <xdr:ext cx="1609725" cy="1076325"/>
    <xdr:pic>
      <xdr:nvPicPr>
        <xdr:cNvPr id="38" name="image1.png">
          <a:extLst>
            <a:ext uri="{FF2B5EF4-FFF2-40B4-BE49-F238E27FC236}">
              <a16:creationId xmlns:a16="http://schemas.microsoft.com/office/drawing/2014/main" id="{BB9069A2-64AB-4476-9E7D-FF0AB4EC64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48400" y="126085600"/>
          <a:ext cx="16097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4191000</xdr:colOff>
      <xdr:row>238</xdr:row>
      <xdr:rowOff>44450</xdr:rowOff>
    </xdr:from>
    <xdr:ext cx="1609725" cy="1076325"/>
    <xdr:pic>
      <xdr:nvPicPr>
        <xdr:cNvPr id="39" name="image1.png">
          <a:extLst>
            <a:ext uri="{FF2B5EF4-FFF2-40B4-BE49-F238E27FC236}">
              <a16:creationId xmlns:a16="http://schemas.microsoft.com/office/drawing/2014/main" id="{3AD4681B-C2FB-47F1-8D63-8C67B383A3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35700" y="134924800"/>
          <a:ext cx="1609725" cy="10763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1571625</xdr:colOff>
      <xdr:row>17</xdr:row>
      <xdr:rowOff>19050</xdr:rowOff>
    </xdr:from>
    <xdr:ext cx="4457700" cy="10382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3800475</xdr:colOff>
      <xdr:row>17</xdr:row>
      <xdr:rowOff>0</xdr:rowOff>
    </xdr:from>
    <xdr:ext cx="1457325" cy="13430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336550</xdr:colOff>
      <xdr:row>0</xdr:row>
      <xdr:rowOff>0</xdr:rowOff>
    </xdr:from>
    <xdr:to>
      <xdr:col>2</xdr:col>
      <xdr:colOff>2451100</xdr:colOff>
      <xdr:row>1</xdr:row>
      <xdr:rowOff>235449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E080425-50C8-C249-9621-243B14A0F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6100" y="0"/>
          <a:ext cx="2114550" cy="1187949"/>
        </a:xfrm>
        <a:prstGeom prst="rect">
          <a:avLst/>
        </a:prstGeom>
      </xdr:spPr>
    </xdr:pic>
    <xdr:clientData/>
  </xdr:twoCellAnchor>
  <xdr:oneCellAnchor>
    <xdr:from>
      <xdr:col>2</xdr:col>
      <xdr:colOff>241300</xdr:colOff>
      <xdr:row>19</xdr:row>
      <xdr:rowOff>317500</xdr:rowOff>
    </xdr:from>
    <xdr:ext cx="2260600" cy="1270000"/>
    <xdr:pic>
      <xdr:nvPicPr>
        <xdr:cNvPr id="42" name="Imagen 44">
          <a:extLst>
            <a:ext uri="{FF2B5EF4-FFF2-40B4-BE49-F238E27FC236}">
              <a16:creationId xmlns:a16="http://schemas.microsoft.com/office/drawing/2014/main" id="{BFA4C7D5-A78E-4CA1-88DB-6AD0EEDD0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90850" y="772795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285750</xdr:colOff>
      <xdr:row>46</xdr:row>
      <xdr:rowOff>336550</xdr:rowOff>
    </xdr:from>
    <xdr:ext cx="2260600" cy="1270000"/>
    <xdr:pic>
      <xdr:nvPicPr>
        <xdr:cNvPr id="44" name="Imagen 44">
          <a:extLst>
            <a:ext uri="{FF2B5EF4-FFF2-40B4-BE49-F238E27FC236}">
              <a16:creationId xmlns:a16="http://schemas.microsoft.com/office/drawing/2014/main" id="{3B61EF7F-58A3-4D9B-8F8D-9726B3647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35300" y="1603375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279400</xdr:colOff>
      <xdr:row>71</xdr:row>
      <xdr:rowOff>431800</xdr:rowOff>
    </xdr:from>
    <xdr:ext cx="2260600" cy="1270000"/>
    <xdr:pic>
      <xdr:nvPicPr>
        <xdr:cNvPr id="46" name="Imagen 44">
          <a:extLst>
            <a:ext uri="{FF2B5EF4-FFF2-40B4-BE49-F238E27FC236}">
              <a16:creationId xmlns:a16="http://schemas.microsoft.com/office/drawing/2014/main" id="{8104E78E-4D20-4EE4-8F6B-403CFBFE7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8950" y="261874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260350</xdr:colOff>
      <xdr:row>97</xdr:row>
      <xdr:rowOff>355600</xdr:rowOff>
    </xdr:from>
    <xdr:ext cx="2260600" cy="1270000"/>
    <xdr:pic>
      <xdr:nvPicPr>
        <xdr:cNvPr id="47" name="Imagen 44">
          <a:extLst>
            <a:ext uri="{FF2B5EF4-FFF2-40B4-BE49-F238E27FC236}">
              <a16:creationId xmlns:a16="http://schemas.microsoft.com/office/drawing/2014/main" id="{259549E1-EDA4-484E-A93B-3DDC7230E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9900" y="370840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279400</xdr:colOff>
      <xdr:row>123</xdr:row>
      <xdr:rowOff>457200</xdr:rowOff>
    </xdr:from>
    <xdr:ext cx="2260600" cy="1270000"/>
    <xdr:pic>
      <xdr:nvPicPr>
        <xdr:cNvPr id="48" name="Imagen 44">
          <a:extLst>
            <a:ext uri="{FF2B5EF4-FFF2-40B4-BE49-F238E27FC236}">
              <a16:creationId xmlns:a16="http://schemas.microsoft.com/office/drawing/2014/main" id="{60824F02-895F-4245-966F-4CE89483F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8950" y="480695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241300</xdr:colOff>
      <xdr:row>149</xdr:row>
      <xdr:rowOff>488950</xdr:rowOff>
    </xdr:from>
    <xdr:ext cx="2260600" cy="1270000"/>
    <xdr:pic>
      <xdr:nvPicPr>
        <xdr:cNvPr id="49" name="Imagen 44">
          <a:extLst>
            <a:ext uri="{FF2B5EF4-FFF2-40B4-BE49-F238E27FC236}">
              <a16:creationId xmlns:a16="http://schemas.microsoft.com/office/drawing/2014/main" id="{84396469-F99E-45BC-951A-348F68FC6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90850" y="5913755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254000</xdr:colOff>
      <xdr:row>202</xdr:row>
      <xdr:rowOff>406400</xdr:rowOff>
    </xdr:from>
    <xdr:ext cx="2260600" cy="1270000"/>
    <xdr:pic>
      <xdr:nvPicPr>
        <xdr:cNvPr id="51" name="Imagen 44">
          <a:extLst>
            <a:ext uri="{FF2B5EF4-FFF2-40B4-BE49-F238E27FC236}">
              <a16:creationId xmlns:a16="http://schemas.microsoft.com/office/drawing/2014/main" id="{82209DA7-325F-4081-81AD-33D1C0298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3550" y="8128635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260350</xdr:colOff>
      <xdr:row>229</xdr:row>
      <xdr:rowOff>463550</xdr:rowOff>
    </xdr:from>
    <xdr:ext cx="2260600" cy="1270000"/>
    <xdr:pic>
      <xdr:nvPicPr>
        <xdr:cNvPr id="52" name="Imagen 44">
          <a:extLst>
            <a:ext uri="{FF2B5EF4-FFF2-40B4-BE49-F238E27FC236}">
              <a16:creationId xmlns:a16="http://schemas.microsoft.com/office/drawing/2014/main" id="{CAF653E9-3421-48A9-8B80-D617797D6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9900" y="922020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254000</xdr:colOff>
      <xdr:row>256</xdr:row>
      <xdr:rowOff>444500</xdr:rowOff>
    </xdr:from>
    <xdr:ext cx="2260600" cy="1270000"/>
    <xdr:pic>
      <xdr:nvPicPr>
        <xdr:cNvPr id="53" name="Imagen 44">
          <a:extLst>
            <a:ext uri="{FF2B5EF4-FFF2-40B4-BE49-F238E27FC236}">
              <a16:creationId xmlns:a16="http://schemas.microsoft.com/office/drawing/2014/main" id="{560E1064-54D0-41E2-87C0-971E0C174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3550" y="10321925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273050</xdr:colOff>
      <xdr:row>283</xdr:row>
      <xdr:rowOff>431800</xdr:rowOff>
    </xdr:from>
    <xdr:ext cx="2260600" cy="1270000"/>
    <xdr:pic>
      <xdr:nvPicPr>
        <xdr:cNvPr id="54" name="Imagen 44">
          <a:extLst>
            <a:ext uri="{FF2B5EF4-FFF2-40B4-BE49-F238E27FC236}">
              <a16:creationId xmlns:a16="http://schemas.microsoft.com/office/drawing/2014/main" id="{2D40B014-5480-4D79-AD01-8846D5263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2600" y="11424285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254000</xdr:colOff>
      <xdr:row>311</xdr:row>
      <xdr:rowOff>158750</xdr:rowOff>
    </xdr:from>
    <xdr:ext cx="2260600" cy="1270000"/>
    <xdr:pic>
      <xdr:nvPicPr>
        <xdr:cNvPr id="55" name="Imagen 44">
          <a:extLst>
            <a:ext uri="{FF2B5EF4-FFF2-40B4-BE49-F238E27FC236}">
              <a16:creationId xmlns:a16="http://schemas.microsoft.com/office/drawing/2014/main" id="{798A2265-9978-4DF0-AAC7-9CEE5F85E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3550" y="1248791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260350</xdr:colOff>
      <xdr:row>338</xdr:row>
      <xdr:rowOff>438150</xdr:rowOff>
    </xdr:from>
    <xdr:ext cx="2260600" cy="1270000"/>
    <xdr:pic>
      <xdr:nvPicPr>
        <xdr:cNvPr id="56" name="Imagen 44">
          <a:extLst>
            <a:ext uri="{FF2B5EF4-FFF2-40B4-BE49-F238E27FC236}">
              <a16:creationId xmlns:a16="http://schemas.microsoft.com/office/drawing/2014/main" id="{373FF76A-3BFC-457E-9DCD-B29D4A736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9900" y="135775700"/>
          <a:ext cx="2260600" cy="1270000"/>
        </a:xfrm>
        <a:prstGeom prst="rect">
          <a:avLst/>
        </a:prstGeom>
      </xdr:spPr>
    </xdr:pic>
    <xdr:clientData/>
  </xdr:oneCellAnchor>
  <xdr:oneCellAnchor>
    <xdr:from>
      <xdr:col>2</xdr:col>
      <xdr:colOff>336550</xdr:colOff>
      <xdr:row>176</xdr:row>
      <xdr:rowOff>0</xdr:rowOff>
    </xdr:from>
    <xdr:ext cx="2114550" cy="1187949"/>
    <xdr:pic>
      <xdr:nvPicPr>
        <xdr:cNvPr id="64" name="Imagen 44">
          <a:extLst>
            <a:ext uri="{FF2B5EF4-FFF2-40B4-BE49-F238E27FC236}">
              <a16:creationId xmlns:a16="http://schemas.microsoft.com/office/drawing/2014/main" id="{EF2E97A7-3090-4053-BAB4-D4AD21E5D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6100" y="0"/>
          <a:ext cx="2114550" cy="1187949"/>
        </a:xfrm>
        <a:prstGeom prst="rect">
          <a:avLst/>
        </a:prstGeom>
      </xdr:spPr>
    </xdr:pic>
    <xdr:clientData/>
  </xdr:oneCellAnchor>
  <xdr:oneCellAnchor>
    <xdr:from>
      <xdr:col>1</xdr:col>
      <xdr:colOff>1568450</xdr:colOff>
      <xdr:row>43</xdr:row>
      <xdr:rowOff>6350</xdr:rowOff>
    </xdr:from>
    <xdr:ext cx="4457700" cy="1038225"/>
    <xdr:pic>
      <xdr:nvPicPr>
        <xdr:cNvPr id="71" name="image5.png">
          <a:extLst>
            <a:ext uri="{FF2B5EF4-FFF2-40B4-BE49-F238E27FC236}">
              <a16:creationId xmlns:a16="http://schemas.microsoft.com/office/drawing/2014/main" id="{5CF43C1B-17DC-4415-AA9B-B3006FBEB8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7100" y="1384935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1593850</xdr:colOff>
      <xdr:row>64</xdr:row>
      <xdr:rowOff>12700</xdr:rowOff>
    </xdr:from>
    <xdr:ext cx="4457700" cy="1038225"/>
    <xdr:pic>
      <xdr:nvPicPr>
        <xdr:cNvPr id="72" name="image5.png">
          <a:extLst>
            <a:ext uri="{FF2B5EF4-FFF2-40B4-BE49-F238E27FC236}">
              <a16:creationId xmlns:a16="http://schemas.microsoft.com/office/drawing/2014/main" id="{6FACC2F9-110A-473B-97A2-41F8D8B55C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22500" y="2225675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1612900</xdr:colOff>
      <xdr:row>88</xdr:row>
      <xdr:rowOff>311150</xdr:rowOff>
    </xdr:from>
    <xdr:ext cx="4457700" cy="1038225"/>
    <xdr:pic>
      <xdr:nvPicPr>
        <xdr:cNvPr id="73" name="image5.png">
          <a:extLst>
            <a:ext uri="{FF2B5EF4-FFF2-40B4-BE49-F238E27FC236}">
              <a16:creationId xmlns:a16="http://schemas.microsoft.com/office/drawing/2014/main" id="{8D03DC2E-F083-4939-A24A-E2B82424C6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41550" y="3178810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1581150</xdr:colOff>
      <xdr:row>115</xdr:row>
      <xdr:rowOff>0</xdr:rowOff>
    </xdr:from>
    <xdr:ext cx="4457700" cy="1038225"/>
    <xdr:pic>
      <xdr:nvPicPr>
        <xdr:cNvPr id="74" name="image5.png">
          <a:extLst>
            <a:ext uri="{FF2B5EF4-FFF2-40B4-BE49-F238E27FC236}">
              <a16:creationId xmlns:a16="http://schemas.microsoft.com/office/drawing/2014/main" id="{F0A08D5C-67CA-46EF-9D61-161ADDF86D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9800" y="4207510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1581150</xdr:colOff>
      <xdr:row>141</xdr:row>
      <xdr:rowOff>12700</xdr:rowOff>
    </xdr:from>
    <xdr:ext cx="4457700" cy="1038225"/>
    <xdr:pic>
      <xdr:nvPicPr>
        <xdr:cNvPr id="75" name="image5.png">
          <a:extLst>
            <a:ext uri="{FF2B5EF4-FFF2-40B4-BE49-F238E27FC236}">
              <a16:creationId xmlns:a16="http://schemas.microsoft.com/office/drawing/2014/main" id="{9AE24846-20CB-4F76-AC90-A521899AD6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9800" y="5241925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1587500</xdr:colOff>
      <xdr:row>167</xdr:row>
      <xdr:rowOff>6350</xdr:rowOff>
    </xdr:from>
    <xdr:ext cx="4457700" cy="1038225"/>
    <xdr:pic>
      <xdr:nvPicPr>
        <xdr:cNvPr id="76" name="image5.png">
          <a:extLst>
            <a:ext uri="{FF2B5EF4-FFF2-40B4-BE49-F238E27FC236}">
              <a16:creationId xmlns:a16="http://schemas.microsoft.com/office/drawing/2014/main" id="{60A64DD8-765F-4AE3-9F76-0FB2CDB8B1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16150" y="6286500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1593850</xdr:colOff>
      <xdr:row>193</xdr:row>
      <xdr:rowOff>6350</xdr:rowOff>
    </xdr:from>
    <xdr:ext cx="4457700" cy="1038225"/>
    <xdr:pic>
      <xdr:nvPicPr>
        <xdr:cNvPr id="77" name="image5.png">
          <a:extLst>
            <a:ext uri="{FF2B5EF4-FFF2-40B4-BE49-F238E27FC236}">
              <a16:creationId xmlns:a16="http://schemas.microsoft.com/office/drawing/2014/main" id="{0D27F534-4DFB-468C-A04F-F2B118384D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22500" y="7330440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1606550</xdr:colOff>
      <xdr:row>220</xdr:row>
      <xdr:rowOff>12700</xdr:rowOff>
    </xdr:from>
    <xdr:ext cx="4457700" cy="1038225"/>
    <xdr:pic>
      <xdr:nvPicPr>
        <xdr:cNvPr id="78" name="image5.png">
          <a:extLst>
            <a:ext uri="{FF2B5EF4-FFF2-40B4-BE49-F238E27FC236}">
              <a16:creationId xmlns:a16="http://schemas.microsoft.com/office/drawing/2014/main" id="{4B54F408-0EB2-472F-8895-AA397D5012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35200" y="8378190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1600200</xdr:colOff>
      <xdr:row>247</xdr:row>
      <xdr:rowOff>6350</xdr:rowOff>
    </xdr:from>
    <xdr:ext cx="4457700" cy="1038225"/>
    <xdr:pic>
      <xdr:nvPicPr>
        <xdr:cNvPr id="79" name="image5.png">
          <a:extLst>
            <a:ext uri="{FF2B5EF4-FFF2-40B4-BE49-F238E27FC236}">
              <a16:creationId xmlns:a16="http://schemas.microsoft.com/office/drawing/2014/main" id="{FE5F3350-A5CC-4F29-AF27-E7949FAA47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28850" y="9454515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1606550</xdr:colOff>
      <xdr:row>274</xdr:row>
      <xdr:rowOff>19050</xdr:rowOff>
    </xdr:from>
    <xdr:ext cx="4457700" cy="1038225"/>
    <xdr:pic>
      <xdr:nvPicPr>
        <xdr:cNvPr id="80" name="image5.png">
          <a:extLst>
            <a:ext uri="{FF2B5EF4-FFF2-40B4-BE49-F238E27FC236}">
              <a16:creationId xmlns:a16="http://schemas.microsoft.com/office/drawing/2014/main" id="{FBEEA193-B31F-406B-8C13-C9D4ADB6C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35200" y="10544810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1612900</xdr:colOff>
      <xdr:row>301</xdr:row>
      <xdr:rowOff>6350</xdr:rowOff>
    </xdr:from>
    <xdr:ext cx="4457700" cy="1038225"/>
    <xdr:pic>
      <xdr:nvPicPr>
        <xdr:cNvPr id="81" name="image5.png">
          <a:extLst>
            <a:ext uri="{FF2B5EF4-FFF2-40B4-BE49-F238E27FC236}">
              <a16:creationId xmlns:a16="http://schemas.microsoft.com/office/drawing/2014/main" id="{953DFC13-4BFB-4042-AC03-6D2FEE448E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41550" y="11631295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1587500</xdr:colOff>
      <xdr:row>329</xdr:row>
      <xdr:rowOff>12700</xdr:rowOff>
    </xdr:from>
    <xdr:ext cx="4457700" cy="1038225"/>
    <xdr:pic>
      <xdr:nvPicPr>
        <xdr:cNvPr id="82" name="image5.png">
          <a:extLst>
            <a:ext uri="{FF2B5EF4-FFF2-40B4-BE49-F238E27FC236}">
              <a16:creationId xmlns:a16="http://schemas.microsoft.com/office/drawing/2014/main" id="{DF308450-E24D-4E6C-A080-5FCDBC06C1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16150" y="12678410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1606550</xdr:colOff>
      <xdr:row>356</xdr:row>
      <xdr:rowOff>12700</xdr:rowOff>
    </xdr:from>
    <xdr:ext cx="4457700" cy="1038225"/>
    <xdr:pic>
      <xdr:nvPicPr>
        <xdr:cNvPr id="83" name="image5.png">
          <a:extLst>
            <a:ext uri="{FF2B5EF4-FFF2-40B4-BE49-F238E27FC236}">
              <a16:creationId xmlns:a16="http://schemas.microsoft.com/office/drawing/2014/main" id="{5479C6D3-F069-4929-A326-38CAE37033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35200" y="137560050"/>
          <a:ext cx="4457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3810000</xdr:colOff>
      <xdr:row>43</xdr:row>
      <xdr:rowOff>6350</xdr:rowOff>
    </xdr:from>
    <xdr:ext cx="1457325" cy="1343025"/>
    <xdr:pic>
      <xdr:nvPicPr>
        <xdr:cNvPr id="84" name="image3.png">
          <a:extLst>
            <a:ext uri="{FF2B5EF4-FFF2-40B4-BE49-F238E27FC236}">
              <a16:creationId xmlns:a16="http://schemas.microsoft.com/office/drawing/2014/main" id="{4CB78AEB-B9D6-4948-B567-B882FCA339A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59550" y="13849350"/>
          <a:ext cx="14573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3854450</xdr:colOff>
      <xdr:row>64</xdr:row>
      <xdr:rowOff>12700</xdr:rowOff>
    </xdr:from>
    <xdr:ext cx="1457325" cy="1343025"/>
    <xdr:pic>
      <xdr:nvPicPr>
        <xdr:cNvPr id="85" name="image3.png">
          <a:extLst>
            <a:ext uri="{FF2B5EF4-FFF2-40B4-BE49-F238E27FC236}">
              <a16:creationId xmlns:a16="http://schemas.microsoft.com/office/drawing/2014/main" id="{BE758E56-0024-45DA-8BEF-3998F9EAD9C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04000" y="22256750"/>
          <a:ext cx="14573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3905250</xdr:colOff>
      <xdr:row>89</xdr:row>
      <xdr:rowOff>19050</xdr:rowOff>
    </xdr:from>
    <xdr:ext cx="1457325" cy="1343025"/>
    <xdr:pic>
      <xdr:nvPicPr>
        <xdr:cNvPr id="86" name="image3.png">
          <a:extLst>
            <a:ext uri="{FF2B5EF4-FFF2-40B4-BE49-F238E27FC236}">
              <a16:creationId xmlns:a16="http://schemas.microsoft.com/office/drawing/2014/main" id="{A193B8E6-B6F5-45C2-90E0-F5287F9D5D2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54800" y="31813500"/>
          <a:ext cx="14573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3867150</xdr:colOff>
      <xdr:row>115</xdr:row>
      <xdr:rowOff>6350</xdr:rowOff>
    </xdr:from>
    <xdr:ext cx="1457325" cy="1343025"/>
    <xdr:pic>
      <xdr:nvPicPr>
        <xdr:cNvPr id="87" name="image3.png">
          <a:extLst>
            <a:ext uri="{FF2B5EF4-FFF2-40B4-BE49-F238E27FC236}">
              <a16:creationId xmlns:a16="http://schemas.microsoft.com/office/drawing/2014/main" id="{8B79DE59-8366-4FEE-AA83-FB438DD085A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16700" y="42081450"/>
          <a:ext cx="14573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3816350</xdr:colOff>
      <xdr:row>141</xdr:row>
      <xdr:rowOff>12700</xdr:rowOff>
    </xdr:from>
    <xdr:ext cx="1457325" cy="1343025"/>
    <xdr:pic>
      <xdr:nvPicPr>
        <xdr:cNvPr id="88" name="image3.png">
          <a:extLst>
            <a:ext uri="{FF2B5EF4-FFF2-40B4-BE49-F238E27FC236}">
              <a16:creationId xmlns:a16="http://schemas.microsoft.com/office/drawing/2014/main" id="{0A35E87E-93C8-4872-9931-275FCE42B61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65900" y="52419250"/>
          <a:ext cx="14573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3810000</xdr:colOff>
      <xdr:row>167</xdr:row>
      <xdr:rowOff>6350</xdr:rowOff>
    </xdr:from>
    <xdr:ext cx="1457325" cy="1343025"/>
    <xdr:pic>
      <xdr:nvPicPr>
        <xdr:cNvPr id="89" name="image3.png">
          <a:extLst>
            <a:ext uri="{FF2B5EF4-FFF2-40B4-BE49-F238E27FC236}">
              <a16:creationId xmlns:a16="http://schemas.microsoft.com/office/drawing/2014/main" id="{9FAB782C-2F25-4504-AA36-4838F4F4A08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59550" y="62865000"/>
          <a:ext cx="14573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3829050</xdr:colOff>
      <xdr:row>193</xdr:row>
      <xdr:rowOff>0</xdr:rowOff>
    </xdr:from>
    <xdr:ext cx="1457325" cy="1343025"/>
    <xdr:pic>
      <xdr:nvPicPr>
        <xdr:cNvPr id="90" name="image3.png">
          <a:extLst>
            <a:ext uri="{FF2B5EF4-FFF2-40B4-BE49-F238E27FC236}">
              <a16:creationId xmlns:a16="http://schemas.microsoft.com/office/drawing/2014/main" id="{70164A04-66B9-4B91-B9BB-527CBCD382A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78600" y="73298050"/>
          <a:ext cx="14573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3860800</xdr:colOff>
      <xdr:row>219</xdr:row>
      <xdr:rowOff>311150</xdr:rowOff>
    </xdr:from>
    <xdr:ext cx="1457325" cy="1343025"/>
    <xdr:pic>
      <xdr:nvPicPr>
        <xdr:cNvPr id="91" name="image3.png">
          <a:extLst>
            <a:ext uri="{FF2B5EF4-FFF2-40B4-BE49-F238E27FC236}">
              <a16:creationId xmlns:a16="http://schemas.microsoft.com/office/drawing/2014/main" id="{D58978A8-9818-4625-AE3B-0D5AE08A6EE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10350" y="83762850"/>
          <a:ext cx="14573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3867150</xdr:colOff>
      <xdr:row>247</xdr:row>
      <xdr:rowOff>0</xdr:rowOff>
    </xdr:from>
    <xdr:ext cx="1457325" cy="1343025"/>
    <xdr:pic>
      <xdr:nvPicPr>
        <xdr:cNvPr id="92" name="image3.png">
          <a:extLst>
            <a:ext uri="{FF2B5EF4-FFF2-40B4-BE49-F238E27FC236}">
              <a16:creationId xmlns:a16="http://schemas.microsoft.com/office/drawing/2014/main" id="{C4229885-E8BC-4A8C-8C4C-930429D0899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16700" y="94538800"/>
          <a:ext cx="14573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3886200</xdr:colOff>
      <xdr:row>274</xdr:row>
      <xdr:rowOff>6350</xdr:rowOff>
    </xdr:from>
    <xdr:ext cx="1457325" cy="1343025"/>
    <xdr:pic>
      <xdr:nvPicPr>
        <xdr:cNvPr id="93" name="image3.png">
          <a:extLst>
            <a:ext uri="{FF2B5EF4-FFF2-40B4-BE49-F238E27FC236}">
              <a16:creationId xmlns:a16="http://schemas.microsoft.com/office/drawing/2014/main" id="{32B04F0D-4D0C-4C41-8272-9D721311A1A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35750" y="105435400"/>
          <a:ext cx="14573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3879850</xdr:colOff>
      <xdr:row>301</xdr:row>
      <xdr:rowOff>6350</xdr:rowOff>
    </xdr:from>
    <xdr:ext cx="1457325" cy="1343025"/>
    <xdr:pic>
      <xdr:nvPicPr>
        <xdr:cNvPr id="94" name="image3.png">
          <a:extLst>
            <a:ext uri="{FF2B5EF4-FFF2-40B4-BE49-F238E27FC236}">
              <a16:creationId xmlns:a16="http://schemas.microsoft.com/office/drawing/2014/main" id="{F818DF32-3987-4357-9A3E-33B6228D601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29400" y="116312950"/>
          <a:ext cx="14573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3867150</xdr:colOff>
      <xdr:row>329</xdr:row>
      <xdr:rowOff>0</xdr:rowOff>
    </xdr:from>
    <xdr:ext cx="1457325" cy="1343025"/>
    <xdr:pic>
      <xdr:nvPicPr>
        <xdr:cNvPr id="95" name="image3.png">
          <a:extLst>
            <a:ext uri="{FF2B5EF4-FFF2-40B4-BE49-F238E27FC236}">
              <a16:creationId xmlns:a16="http://schemas.microsoft.com/office/drawing/2014/main" id="{72596343-3F9C-4B31-87F4-1A610364B2B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16700" y="126771400"/>
          <a:ext cx="14573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3905250</xdr:colOff>
      <xdr:row>356</xdr:row>
      <xdr:rowOff>6350</xdr:rowOff>
    </xdr:from>
    <xdr:ext cx="1457325" cy="1343025"/>
    <xdr:pic>
      <xdr:nvPicPr>
        <xdr:cNvPr id="96" name="image3.png">
          <a:extLst>
            <a:ext uri="{FF2B5EF4-FFF2-40B4-BE49-F238E27FC236}">
              <a16:creationId xmlns:a16="http://schemas.microsoft.com/office/drawing/2014/main" id="{F5D9BE5B-286A-4ED8-8664-BC80BDB462D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54800" y="137553700"/>
          <a:ext cx="1457325" cy="13430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2247900" cy="124777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katerina.Akinina@r-express.ru" TargetMode="External"/><Relationship Id="rId1" Type="http://schemas.openxmlformats.org/officeDocument/2006/relationships/hyperlink" Target="mailto:booking@adatours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4"/>
  <sheetViews>
    <sheetView showGridLines="0" tabSelected="1" workbookViewId="0">
      <selection activeCell="I25" sqref="I25"/>
    </sheetView>
  </sheetViews>
  <sheetFormatPr defaultColWidth="12.6328125" defaultRowHeight="15" customHeight="1" x14ac:dyDescent="0.25"/>
  <cols>
    <col min="1" max="1" width="22.81640625" customWidth="1"/>
    <col min="2" max="2" width="23.36328125" customWidth="1"/>
    <col min="3" max="3" width="15.453125" customWidth="1"/>
    <col min="4" max="4" width="13.1796875" customWidth="1"/>
    <col min="5" max="5" width="12.453125" customWidth="1"/>
    <col min="6" max="8" width="8.453125" customWidth="1"/>
    <col min="9" max="9" width="14.81640625" customWidth="1"/>
    <col min="10" max="29" width="9.1796875" hidden="1" customWidth="1"/>
  </cols>
  <sheetData>
    <row r="1" spans="1:29" ht="148.5" customHeight="1" x14ac:dyDescent="0.3">
      <c r="A1" s="113"/>
      <c r="B1" s="114"/>
      <c r="C1" s="114"/>
      <c r="D1" s="114"/>
      <c r="E1" s="114"/>
      <c r="F1" s="114"/>
      <c r="G1" s="115" t="s">
        <v>53</v>
      </c>
      <c r="H1" s="116"/>
      <c r="I1" s="11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50" customHeight="1" x14ac:dyDescent="0.4">
      <c r="A2" s="118" t="s">
        <v>41</v>
      </c>
      <c r="B2" s="119"/>
      <c r="C2" s="120" t="s">
        <v>42</v>
      </c>
      <c r="D2" s="121"/>
      <c r="E2" s="122" t="s">
        <v>0</v>
      </c>
      <c r="F2" s="123"/>
      <c r="G2" s="124" t="s">
        <v>37</v>
      </c>
      <c r="H2" s="123"/>
      <c r="I2" s="12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54.75" customHeight="1" x14ac:dyDescent="0.3">
      <c r="A3" s="47" t="s">
        <v>1</v>
      </c>
      <c r="B3" s="203" t="s">
        <v>54</v>
      </c>
      <c r="C3" s="126"/>
      <c r="D3" s="126"/>
      <c r="E3" s="126"/>
      <c r="F3" s="126"/>
      <c r="G3" s="126"/>
      <c r="H3" s="126"/>
      <c r="I3" s="12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0" customHeight="1" x14ac:dyDescent="0.3">
      <c r="A4" s="130" t="s">
        <v>2</v>
      </c>
      <c r="B4" s="95" t="s">
        <v>39</v>
      </c>
      <c r="C4" s="96"/>
      <c r="D4" s="49" t="s">
        <v>3</v>
      </c>
      <c r="E4" s="104" t="s">
        <v>4</v>
      </c>
      <c r="F4" s="105"/>
      <c r="G4" s="105"/>
      <c r="H4" s="105"/>
      <c r="I4" s="10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6.25" customHeight="1" x14ac:dyDescent="0.3">
      <c r="A5" s="131"/>
      <c r="B5" s="95" t="s">
        <v>40</v>
      </c>
      <c r="C5" s="97" t="s">
        <v>43</v>
      </c>
      <c r="D5" s="48" t="s">
        <v>5</v>
      </c>
      <c r="E5" s="107" t="s">
        <v>6</v>
      </c>
      <c r="F5" s="108"/>
      <c r="G5" s="108"/>
      <c r="H5" s="108"/>
      <c r="I5" s="10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9.25" customHeight="1" x14ac:dyDescent="0.3">
      <c r="A6" s="128" t="s">
        <v>7</v>
      </c>
      <c r="B6" s="105"/>
      <c r="C6" s="129"/>
      <c r="D6" s="50" t="s">
        <v>8</v>
      </c>
      <c r="E6" s="104" t="s">
        <v>9</v>
      </c>
      <c r="F6" s="105"/>
      <c r="G6" s="105"/>
      <c r="H6" s="105"/>
      <c r="I6" s="10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30" customHeight="1" x14ac:dyDescent="0.45">
      <c r="A7" s="110" t="s">
        <v>5</v>
      </c>
      <c r="B7" s="111"/>
      <c r="C7" s="111"/>
      <c r="D7" s="111"/>
      <c r="E7" s="111"/>
      <c r="F7" s="111"/>
      <c r="G7" s="111"/>
      <c r="H7" s="111"/>
      <c r="I7" s="1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5" customHeight="1" x14ac:dyDescent="0.3">
      <c r="A8" s="45" t="s">
        <v>27</v>
      </c>
      <c r="B8" s="44" t="s">
        <v>28</v>
      </c>
      <c r="C8" s="44" t="s">
        <v>29</v>
      </c>
      <c r="D8" s="44" t="s">
        <v>30</v>
      </c>
      <c r="E8" s="44" t="s">
        <v>31</v>
      </c>
      <c r="F8" s="44" t="s">
        <v>38</v>
      </c>
      <c r="G8" s="44" t="s">
        <v>32</v>
      </c>
      <c r="H8" s="44" t="s">
        <v>33</v>
      </c>
      <c r="I8" s="46" t="s">
        <v>34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36" customHeight="1" x14ac:dyDescent="0.3">
      <c r="A9" s="51" t="s">
        <v>44</v>
      </c>
      <c r="B9" s="52" t="s">
        <v>45</v>
      </c>
      <c r="C9" s="52" t="s">
        <v>46</v>
      </c>
      <c r="D9" s="52" t="s">
        <v>47</v>
      </c>
      <c r="E9" s="52" t="s">
        <v>48</v>
      </c>
      <c r="F9" s="53" t="s">
        <v>12</v>
      </c>
      <c r="G9" s="54">
        <v>2</v>
      </c>
      <c r="H9" s="54">
        <v>2</v>
      </c>
      <c r="I9" s="55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36" hidden="1" customHeight="1" x14ac:dyDescent="0.3">
      <c r="A10" s="3"/>
      <c r="B10" s="4"/>
      <c r="C10" s="4"/>
      <c r="D10" s="4"/>
      <c r="E10" s="4"/>
      <c r="F10" s="5"/>
      <c r="G10" s="6"/>
      <c r="H10" s="6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36" hidden="1" customHeight="1" x14ac:dyDescent="0.3">
      <c r="A11" s="8"/>
      <c r="B11" s="9"/>
      <c r="C11" s="9"/>
      <c r="D11" s="9"/>
      <c r="E11" s="9"/>
      <c r="F11" s="10"/>
      <c r="G11" s="11"/>
      <c r="H11" s="11"/>
      <c r="I11" s="1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36" hidden="1" customHeight="1" x14ac:dyDescent="0.3">
      <c r="A12" s="8"/>
      <c r="B12" s="9"/>
      <c r="C12" s="9"/>
      <c r="D12" s="9"/>
      <c r="E12" s="9"/>
      <c r="F12" s="10"/>
      <c r="G12" s="11"/>
      <c r="H12" s="11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6" hidden="1" customHeight="1" x14ac:dyDescent="0.3">
      <c r="A13" s="8"/>
      <c r="B13" s="9"/>
      <c r="C13" s="9"/>
      <c r="D13" s="9"/>
      <c r="E13" s="9"/>
      <c r="F13" s="10"/>
      <c r="G13" s="11"/>
      <c r="H13" s="11"/>
      <c r="I13" s="1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36" hidden="1" customHeight="1" x14ac:dyDescent="0.3">
      <c r="A14" s="8"/>
      <c r="B14" s="9"/>
      <c r="C14" s="9"/>
      <c r="D14" s="9"/>
      <c r="E14" s="9"/>
      <c r="F14" s="10"/>
      <c r="G14" s="11"/>
      <c r="H14" s="11"/>
      <c r="I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36.75" hidden="1" customHeight="1" x14ac:dyDescent="0.3">
      <c r="A15" s="8"/>
      <c r="B15" s="9"/>
      <c r="C15" s="9"/>
      <c r="D15" s="9"/>
      <c r="E15" s="9"/>
      <c r="F15" s="10"/>
      <c r="G15" s="11"/>
      <c r="H15" s="11"/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36" hidden="1" customHeight="1" x14ac:dyDescent="0.3">
      <c r="A16" s="8"/>
      <c r="B16" s="9"/>
      <c r="C16" s="9"/>
      <c r="D16" s="9"/>
      <c r="E16" s="9"/>
      <c r="F16" s="10"/>
      <c r="G16" s="11"/>
      <c r="H16" s="11"/>
      <c r="I16" s="1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30" ht="36" hidden="1" customHeight="1" x14ac:dyDescent="0.3">
      <c r="A17" s="8"/>
      <c r="B17" s="9"/>
      <c r="C17" s="9"/>
      <c r="D17" s="9"/>
      <c r="E17" s="9"/>
      <c r="F17" s="10"/>
      <c r="G17" s="11"/>
      <c r="H17" s="11"/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30" ht="36" hidden="1" customHeight="1" x14ac:dyDescent="0.3">
      <c r="A18" s="8"/>
      <c r="B18" s="9"/>
      <c r="C18" s="9"/>
      <c r="D18" s="9"/>
      <c r="E18" s="9"/>
      <c r="F18" s="10"/>
      <c r="G18" s="11"/>
      <c r="H18" s="11"/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30" ht="35.25" hidden="1" customHeight="1" x14ac:dyDescent="0.3">
      <c r="A19" s="8"/>
      <c r="B19" s="9"/>
      <c r="C19" s="9"/>
      <c r="D19" s="9"/>
      <c r="E19" s="9"/>
      <c r="F19" s="10"/>
      <c r="G19" s="11"/>
      <c r="H19" s="11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30" ht="36" hidden="1" customHeight="1" x14ac:dyDescent="0.3">
      <c r="A20" s="8"/>
      <c r="B20" s="9"/>
      <c r="C20" s="9"/>
      <c r="D20" s="9"/>
      <c r="E20" s="9"/>
      <c r="F20" s="10"/>
      <c r="G20" s="11"/>
      <c r="H20" s="11"/>
      <c r="I20" s="1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30" ht="36" hidden="1" customHeight="1" x14ac:dyDescent="0.3">
      <c r="A21" s="8"/>
      <c r="B21" s="9"/>
      <c r="C21" s="9"/>
      <c r="D21" s="9"/>
      <c r="E21" s="9"/>
      <c r="F21" s="10"/>
      <c r="G21" s="11"/>
      <c r="H21" s="11"/>
      <c r="I21" s="1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30" ht="36" hidden="1" customHeight="1" x14ac:dyDescent="0.3">
      <c r="A22" s="14"/>
      <c r="B22" s="15"/>
      <c r="C22" s="15"/>
      <c r="D22" s="15"/>
      <c r="E22" s="15"/>
      <c r="F22" s="39"/>
      <c r="G22" s="16"/>
      <c r="H22" s="16"/>
      <c r="I22" s="4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30" ht="30" customHeight="1" x14ac:dyDescent="0.45">
      <c r="A23" s="110" t="s">
        <v>26</v>
      </c>
      <c r="B23" s="111"/>
      <c r="C23" s="111"/>
      <c r="D23" s="111"/>
      <c r="E23" s="111"/>
      <c r="F23" s="111"/>
      <c r="G23" s="111"/>
      <c r="H23" s="111"/>
      <c r="I23" s="11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30" ht="25" customHeight="1" x14ac:dyDescent="0.35">
      <c r="A24" s="41" t="s">
        <v>27</v>
      </c>
      <c r="B24" s="132" t="s">
        <v>26</v>
      </c>
      <c r="C24" s="133"/>
      <c r="D24" s="133"/>
      <c r="E24" s="37" t="s">
        <v>31</v>
      </c>
      <c r="F24" s="37" t="s">
        <v>38</v>
      </c>
      <c r="G24" s="37" t="s">
        <v>35</v>
      </c>
      <c r="H24" s="37" t="s">
        <v>36</v>
      </c>
      <c r="I24" s="42" t="s">
        <v>34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8"/>
    </row>
    <row r="25" spans="1:30" ht="58.5" customHeight="1" x14ac:dyDescent="0.3">
      <c r="A25" s="56" t="s">
        <v>49</v>
      </c>
      <c r="B25" s="134" t="s">
        <v>50</v>
      </c>
      <c r="C25" s="105"/>
      <c r="D25" s="105"/>
      <c r="E25" s="57" t="s">
        <v>48</v>
      </c>
      <c r="F25" s="58" t="s">
        <v>12</v>
      </c>
      <c r="G25" s="59">
        <v>2</v>
      </c>
      <c r="H25" s="59">
        <v>1</v>
      </c>
      <c r="I25" s="55">
        <f>1300*2</f>
        <v>2600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30" ht="19.5" customHeight="1" x14ac:dyDescent="0.3">
      <c r="A26" s="138" t="s">
        <v>14</v>
      </c>
      <c r="B26" s="139"/>
      <c r="C26" s="139"/>
      <c r="D26" s="139"/>
      <c r="E26" s="139"/>
      <c r="F26" s="139"/>
      <c r="G26" s="139"/>
      <c r="H26" s="140"/>
      <c r="I26" s="60">
        <f>I25</f>
        <v>2600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30" ht="27" customHeight="1" x14ac:dyDescent="0.3">
      <c r="A27" s="141" t="s">
        <v>15</v>
      </c>
      <c r="B27" s="142"/>
      <c r="C27" s="142"/>
      <c r="D27" s="142"/>
      <c r="E27" s="142"/>
      <c r="F27" s="142"/>
      <c r="G27" s="142"/>
      <c r="H27" s="143"/>
      <c r="I27" s="61">
        <f>I26</f>
        <v>2600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30" ht="6.75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30" ht="4.5" customHeight="1" x14ac:dyDescent="0.3">
      <c r="A29" s="98" t="s">
        <v>51</v>
      </c>
      <c r="B29" s="99"/>
      <c r="C29" s="99"/>
      <c r="D29" s="99"/>
      <c r="E29" s="100"/>
      <c r="F29" s="98" t="s">
        <v>52</v>
      </c>
      <c r="G29" s="99"/>
      <c r="H29" s="99"/>
      <c r="I29" s="10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30" ht="106.5" customHeight="1" x14ac:dyDescent="0.3">
      <c r="A30" s="101"/>
      <c r="B30" s="102"/>
      <c r="C30" s="102"/>
      <c r="D30" s="102"/>
      <c r="E30" s="103"/>
      <c r="F30" s="101"/>
      <c r="G30" s="102"/>
      <c r="H30" s="102"/>
      <c r="I30" s="10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30" ht="6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30" ht="4.5" customHeight="1" x14ac:dyDescent="0.3">
      <c r="A32" s="135"/>
      <c r="B32" s="136"/>
      <c r="C32" s="136"/>
      <c r="D32" s="136"/>
      <c r="E32" s="136"/>
      <c r="F32" s="136"/>
      <c r="G32" s="136"/>
      <c r="H32" s="136"/>
      <c r="I32" s="13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6.5" customHeight="1" x14ac:dyDescent="0.3">
      <c r="A33" s="17"/>
      <c r="B33" s="18"/>
      <c r="C33" s="18"/>
      <c r="D33" s="18"/>
      <c r="E33" s="19"/>
      <c r="F33" s="18"/>
      <c r="G33" s="18"/>
      <c r="H33" s="18"/>
      <c r="I33" s="2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 x14ac:dyDescent="0.3">
      <c r="A34" s="1"/>
      <c r="B34" s="1"/>
      <c r="C34" s="1"/>
      <c r="D34" s="1"/>
      <c r="E34" s="2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 x14ac:dyDescent="0.3">
      <c r="A35" s="1"/>
      <c r="B35" s="1"/>
      <c r="C35" s="1"/>
      <c r="D35" s="1"/>
      <c r="E35" s="2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 x14ac:dyDescent="0.3">
      <c r="A36" s="1"/>
      <c r="B36" s="1"/>
      <c r="C36" s="1"/>
      <c r="D36" s="1"/>
      <c r="E36" s="2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 x14ac:dyDescent="0.3">
      <c r="A37" s="1"/>
      <c r="B37" s="1"/>
      <c r="C37" s="1"/>
      <c r="D37" s="1"/>
      <c r="E37" s="2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 x14ac:dyDescent="0.3">
      <c r="A38" s="1"/>
      <c r="B38" s="1"/>
      <c r="C38" s="1"/>
      <c r="D38" s="1"/>
      <c r="E38" s="2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 x14ac:dyDescent="0.3">
      <c r="A39" s="1"/>
      <c r="B39" s="1"/>
      <c r="C39" s="1"/>
      <c r="D39" s="1"/>
      <c r="E39" s="2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 x14ac:dyDescent="0.3">
      <c r="A40" s="1"/>
      <c r="B40" s="1"/>
      <c r="C40" s="1"/>
      <c r="D40" s="1"/>
      <c r="E40" s="2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 x14ac:dyDescent="0.3">
      <c r="A41" s="1"/>
      <c r="B41" s="1"/>
      <c r="C41" s="1"/>
      <c r="D41" s="1"/>
      <c r="E41" s="2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 x14ac:dyDescent="0.3">
      <c r="A42" s="1"/>
      <c r="B42" s="1"/>
      <c r="C42" s="1"/>
      <c r="D42" s="1"/>
      <c r="E42" s="2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 x14ac:dyDescent="0.3">
      <c r="A43" s="1"/>
      <c r="B43" s="1"/>
      <c r="C43" s="1"/>
      <c r="D43" s="1"/>
      <c r="E43" s="2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 x14ac:dyDescent="0.3">
      <c r="A44" s="1"/>
      <c r="B44" s="1"/>
      <c r="C44" s="1"/>
      <c r="D44" s="1"/>
      <c r="E44" s="2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 x14ac:dyDescent="0.3">
      <c r="A45" s="1"/>
      <c r="B45" s="1"/>
      <c r="C45" s="1"/>
      <c r="D45" s="1"/>
      <c r="E45" s="2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 x14ac:dyDescent="0.3">
      <c r="A46" s="1"/>
      <c r="B46" s="1"/>
      <c r="C46" s="1"/>
      <c r="D46" s="1"/>
      <c r="E46" s="2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 x14ac:dyDescent="0.3">
      <c r="A47" s="1"/>
      <c r="B47" s="1"/>
      <c r="C47" s="1"/>
      <c r="D47" s="1"/>
      <c r="E47" s="2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 x14ac:dyDescent="0.3">
      <c r="A48" s="1"/>
      <c r="B48" s="1"/>
      <c r="C48" s="1"/>
      <c r="D48" s="1"/>
      <c r="E48" s="2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 x14ac:dyDescent="0.3">
      <c r="A49" s="1"/>
      <c r="B49" s="1"/>
      <c r="C49" s="1"/>
      <c r="D49" s="1"/>
      <c r="E49" s="2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 x14ac:dyDescent="0.3">
      <c r="A50" s="1"/>
      <c r="B50" s="1"/>
      <c r="C50" s="1"/>
      <c r="D50" s="1"/>
      <c r="E50" s="2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 x14ac:dyDescent="0.3">
      <c r="A51" s="1"/>
      <c r="B51" s="1"/>
      <c r="C51" s="1"/>
      <c r="D51" s="1"/>
      <c r="E51" s="2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 x14ac:dyDescent="0.3">
      <c r="A52" s="1"/>
      <c r="B52" s="1"/>
      <c r="C52" s="1"/>
      <c r="D52" s="1"/>
      <c r="E52" s="2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 x14ac:dyDescent="0.3">
      <c r="A53" s="1"/>
      <c r="B53" s="1"/>
      <c r="C53" s="1"/>
      <c r="D53" s="1"/>
      <c r="E53" s="2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 x14ac:dyDescent="0.3">
      <c r="A54" s="1"/>
      <c r="B54" s="1"/>
      <c r="C54" s="1"/>
      <c r="D54" s="1"/>
      <c r="E54" s="2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 x14ac:dyDescent="0.3">
      <c r="A55" s="1"/>
      <c r="B55" s="1"/>
      <c r="C55" s="1"/>
      <c r="D55" s="1"/>
      <c r="E55" s="2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 x14ac:dyDescent="0.3">
      <c r="A56" s="1"/>
      <c r="B56" s="1"/>
      <c r="C56" s="1"/>
      <c r="D56" s="1"/>
      <c r="E56" s="2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 x14ac:dyDescent="0.3">
      <c r="A57" s="1"/>
      <c r="B57" s="1"/>
      <c r="C57" s="1"/>
      <c r="D57" s="1"/>
      <c r="E57" s="2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 x14ac:dyDescent="0.3">
      <c r="A58" s="1"/>
      <c r="B58" s="1"/>
      <c r="C58" s="1"/>
      <c r="D58" s="1"/>
      <c r="E58" s="2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 x14ac:dyDescent="0.3">
      <c r="A59" s="1"/>
      <c r="B59" s="1"/>
      <c r="C59" s="1"/>
      <c r="D59" s="1"/>
      <c r="E59" s="2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 x14ac:dyDescent="0.3">
      <c r="A60" s="1"/>
      <c r="B60" s="1"/>
      <c r="C60" s="1"/>
      <c r="D60" s="1"/>
      <c r="E60" s="2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 x14ac:dyDescent="0.3">
      <c r="A61" s="1"/>
      <c r="B61" s="1"/>
      <c r="C61" s="1"/>
      <c r="D61" s="1"/>
      <c r="E61" s="2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 x14ac:dyDescent="0.3">
      <c r="A62" s="1"/>
      <c r="B62" s="1"/>
      <c r="C62" s="1"/>
      <c r="D62" s="1"/>
      <c r="E62" s="2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 x14ac:dyDescent="0.3">
      <c r="A63" s="1"/>
      <c r="B63" s="1"/>
      <c r="C63" s="1"/>
      <c r="D63" s="1"/>
      <c r="E63" s="2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 x14ac:dyDescent="0.3">
      <c r="A64" s="1"/>
      <c r="B64" s="1"/>
      <c r="C64" s="1"/>
      <c r="D64" s="1"/>
      <c r="E64" s="2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 x14ac:dyDescent="0.3">
      <c r="A65" s="1"/>
      <c r="B65" s="1"/>
      <c r="C65" s="1"/>
      <c r="D65" s="1"/>
      <c r="E65" s="2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 x14ac:dyDescent="0.3">
      <c r="A66" s="1"/>
      <c r="B66" s="1"/>
      <c r="C66" s="1"/>
      <c r="D66" s="1"/>
      <c r="E66" s="2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 x14ac:dyDescent="0.3">
      <c r="A67" s="1"/>
      <c r="B67" s="1"/>
      <c r="C67" s="1"/>
      <c r="D67" s="1"/>
      <c r="E67" s="2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 x14ac:dyDescent="0.3">
      <c r="A68" s="1"/>
      <c r="B68" s="1"/>
      <c r="C68" s="1"/>
      <c r="D68" s="1"/>
      <c r="E68" s="2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 x14ac:dyDescent="0.3">
      <c r="A69" s="1"/>
      <c r="B69" s="1"/>
      <c r="C69" s="1"/>
      <c r="D69" s="1"/>
      <c r="E69" s="2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 x14ac:dyDescent="0.3">
      <c r="A70" s="1"/>
      <c r="B70" s="1"/>
      <c r="C70" s="1"/>
      <c r="D70" s="1"/>
      <c r="E70" s="2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 x14ac:dyDescent="0.3">
      <c r="A71" s="1"/>
      <c r="B71" s="1"/>
      <c r="C71" s="1"/>
      <c r="D71" s="1"/>
      <c r="E71" s="2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 x14ac:dyDescent="0.3">
      <c r="A72" s="1"/>
      <c r="B72" s="1"/>
      <c r="C72" s="1"/>
      <c r="D72" s="1"/>
      <c r="E72" s="2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 x14ac:dyDescent="0.3">
      <c r="A73" s="1"/>
      <c r="B73" s="1"/>
      <c r="C73" s="1"/>
      <c r="D73" s="1"/>
      <c r="E73" s="2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 x14ac:dyDescent="0.3">
      <c r="A74" s="1"/>
      <c r="B74" s="1"/>
      <c r="C74" s="1"/>
      <c r="D74" s="1"/>
      <c r="E74" s="2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 x14ac:dyDescent="0.3">
      <c r="A75" s="1"/>
      <c r="B75" s="1"/>
      <c r="C75" s="1"/>
      <c r="D75" s="1"/>
      <c r="E75" s="2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 x14ac:dyDescent="0.3">
      <c r="A76" s="1"/>
      <c r="B76" s="1"/>
      <c r="C76" s="1"/>
      <c r="D76" s="1"/>
      <c r="E76" s="2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 x14ac:dyDescent="0.3">
      <c r="A77" s="1"/>
      <c r="B77" s="1"/>
      <c r="C77" s="1"/>
      <c r="D77" s="1"/>
      <c r="E77" s="2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 x14ac:dyDescent="0.3">
      <c r="A78" s="1"/>
      <c r="B78" s="1"/>
      <c r="C78" s="1"/>
      <c r="D78" s="1"/>
      <c r="E78" s="2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 x14ac:dyDescent="0.3">
      <c r="A79" s="1"/>
      <c r="B79" s="1"/>
      <c r="C79" s="1"/>
      <c r="D79" s="1"/>
      <c r="E79" s="2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 x14ac:dyDescent="0.3">
      <c r="A80" s="1"/>
      <c r="B80" s="1"/>
      <c r="C80" s="1"/>
      <c r="D80" s="1"/>
      <c r="E80" s="2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 x14ac:dyDescent="0.3">
      <c r="A81" s="1"/>
      <c r="B81" s="1"/>
      <c r="C81" s="1"/>
      <c r="D81" s="1"/>
      <c r="E81" s="2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 x14ac:dyDescent="0.3">
      <c r="A82" s="1"/>
      <c r="B82" s="1"/>
      <c r="C82" s="1"/>
      <c r="D82" s="1"/>
      <c r="E82" s="2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 x14ac:dyDescent="0.3">
      <c r="A83" s="1"/>
      <c r="B83" s="1"/>
      <c r="C83" s="1"/>
      <c r="D83" s="1"/>
      <c r="E83" s="2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 x14ac:dyDescent="0.3">
      <c r="A84" s="1"/>
      <c r="B84" s="1"/>
      <c r="C84" s="1"/>
      <c r="D84" s="1"/>
      <c r="E84" s="2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 x14ac:dyDescent="0.3">
      <c r="A85" s="1"/>
      <c r="B85" s="1"/>
      <c r="C85" s="1"/>
      <c r="D85" s="1"/>
      <c r="E85" s="2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 x14ac:dyDescent="0.3">
      <c r="A86" s="1"/>
      <c r="B86" s="1"/>
      <c r="C86" s="1"/>
      <c r="D86" s="1"/>
      <c r="E86" s="2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 x14ac:dyDescent="0.3">
      <c r="A87" s="1"/>
      <c r="B87" s="1"/>
      <c r="C87" s="1"/>
      <c r="D87" s="1"/>
      <c r="E87" s="2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 x14ac:dyDescent="0.3">
      <c r="A88" s="1"/>
      <c r="B88" s="1"/>
      <c r="C88" s="1"/>
      <c r="D88" s="1"/>
      <c r="E88" s="2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 x14ac:dyDescent="0.3">
      <c r="A89" s="1"/>
      <c r="B89" s="1"/>
      <c r="C89" s="1"/>
      <c r="D89" s="1"/>
      <c r="E89" s="2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 x14ac:dyDescent="0.3">
      <c r="A90" s="1"/>
      <c r="B90" s="1"/>
      <c r="C90" s="1"/>
      <c r="D90" s="1"/>
      <c r="E90" s="2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 x14ac:dyDescent="0.3">
      <c r="A91" s="1"/>
      <c r="B91" s="1"/>
      <c r="C91" s="1"/>
      <c r="D91" s="1"/>
      <c r="E91" s="2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 x14ac:dyDescent="0.3">
      <c r="A92" s="1"/>
      <c r="B92" s="1"/>
      <c r="C92" s="1"/>
      <c r="D92" s="1"/>
      <c r="E92" s="2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 x14ac:dyDescent="0.3">
      <c r="A93" s="1"/>
      <c r="B93" s="1"/>
      <c r="C93" s="1"/>
      <c r="D93" s="1"/>
      <c r="E93" s="2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 x14ac:dyDescent="0.3">
      <c r="A94" s="1"/>
      <c r="B94" s="1"/>
      <c r="C94" s="1"/>
      <c r="D94" s="1"/>
      <c r="E94" s="2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 x14ac:dyDescent="0.3">
      <c r="A95" s="1"/>
      <c r="B95" s="1"/>
      <c r="C95" s="1"/>
      <c r="D95" s="1"/>
      <c r="E95" s="2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 x14ac:dyDescent="0.3">
      <c r="A96" s="1"/>
      <c r="B96" s="1"/>
      <c r="C96" s="1"/>
      <c r="D96" s="1"/>
      <c r="E96" s="2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 x14ac:dyDescent="0.3">
      <c r="A97" s="1"/>
      <c r="B97" s="1"/>
      <c r="C97" s="1"/>
      <c r="D97" s="1"/>
      <c r="E97" s="2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 x14ac:dyDescent="0.3">
      <c r="A98" s="1"/>
      <c r="B98" s="1"/>
      <c r="C98" s="1"/>
      <c r="D98" s="1"/>
      <c r="E98" s="2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 x14ac:dyDescent="0.3">
      <c r="A99" s="1"/>
      <c r="B99" s="1"/>
      <c r="C99" s="1"/>
      <c r="D99" s="1"/>
      <c r="E99" s="2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 x14ac:dyDescent="0.3">
      <c r="A100" s="1"/>
      <c r="B100" s="1"/>
      <c r="C100" s="1"/>
      <c r="D100" s="1"/>
      <c r="E100" s="2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 x14ac:dyDescent="0.3">
      <c r="A101" s="1"/>
      <c r="B101" s="1"/>
      <c r="C101" s="1"/>
      <c r="D101" s="1"/>
      <c r="E101" s="2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 x14ac:dyDescent="0.3">
      <c r="A102" s="1"/>
      <c r="B102" s="1"/>
      <c r="C102" s="1"/>
      <c r="D102" s="1"/>
      <c r="E102" s="2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 x14ac:dyDescent="0.3">
      <c r="A103" s="1"/>
      <c r="B103" s="1"/>
      <c r="C103" s="1"/>
      <c r="D103" s="1"/>
      <c r="E103" s="2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 x14ac:dyDescent="0.3">
      <c r="A104" s="1"/>
      <c r="B104" s="1"/>
      <c r="C104" s="1"/>
      <c r="D104" s="1"/>
      <c r="E104" s="2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 x14ac:dyDescent="0.3">
      <c r="A105" s="1"/>
      <c r="B105" s="1"/>
      <c r="C105" s="1"/>
      <c r="D105" s="1"/>
      <c r="E105" s="2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 x14ac:dyDescent="0.3">
      <c r="A106" s="1"/>
      <c r="B106" s="1"/>
      <c r="C106" s="1"/>
      <c r="D106" s="1"/>
      <c r="E106" s="2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 x14ac:dyDescent="0.3">
      <c r="A107" s="1"/>
      <c r="B107" s="1"/>
      <c r="C107" s="1"/>
      <c r="D107" s="1"/>
      <c r="E107" s="2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 x14ac:dyDescent="0.3">
      <c r="A108" s="1"/>
      <c r="B108" s="1"/>
      <c r="C108" s="1"/>
      <c r="D108" s="1"/>
      <c r="E108" s="2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 x14ac:dyDescent="0.3">
      <c r="A109" s="1"/>
      <c r="B109" s="1"/>
      <c r="C109" s="1"/>
      <c r="D109" s="1"/>
      <c r="E109" s="2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 x14ac:dyDescent="0.3">
      <c r="A110" s="1"/>
      <c r="B110" s="1"/>
      <c r="C110" s="1"/>
      <c r="D110" s="1"/>
      <c r="E110" s="2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 x14ac:dyDescent="0.3">
      <c r="A111" s="1"/>
      <c r="B111" s="1"/>
      <c r="C111" s="1"/>
      <c r="D111" s="1"/>
      <c r="E111" s="2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 x14ac:dyDescent="0.3">
      <c r="A112" s="1"/>
      <c r="B112" s="1"/>
      <c r="C112" s="1"/>
      <c r="D112" s="1"/>
      <c r="E112" s="2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 x14ac:dyDescent="0.3">
      <c r="A113" s="1"/>
      <c r="B113" s="1"/>
      <c r="C113" s="1"/>
      <c r="D113" s="1"/>
      <c r="E113" s="2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 x14ac:dyDescent="0.3">
      <c r="A114" s="1"/>
      <c r="B114" s="1"/>
      <c r="C114" s="1"/>
      <c r="D114" s="1"/>
      <c r="E114" s="2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5" customHeight="1" x14ac:dyDescent="0.3">
      <c r="A115" s="1"/>
      <c r="B115" s="1"/>
      <c r="C115" s="1"/>
      <c r="D115" s="1"/>
      <c r="E115" s="2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5" customHeight="1" x14ac:dyDescent="0.3">
      <c r="A116" s="1"/>
      <c r="B116" s="1"/>
      <c r="C116" s="1"/>
      <c r="D116" s="1"/>
      <c r="E116" s="2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5" customHeight="1" x14ac:dyDescent="0.3">
      <c r="A117" s="1"/>
      <c r="B117" s="1"/>
      <c r="C117" s="1"/>
      <c r="D117" s="1"/>
      <c r="E117" s="2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5" customHeight="1" x14ac:dyDescent="0.3">
      <c r="A118" s="1"/>
      <c r="B118" s="1"/>
      <c r="C118" s="1"/>
      <c r="D118" s="1"/>
      <c r="E118" s="2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5" customHeight="1" x14ac:dyDescent="0.3">
      <c r="A119" s="1"/>
      <c r="B119" s="1"/>
      <c r="C119" s="1"/>
      <c r="D119" s="1"/>
      <c r="E119" s="2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customHeight="1" x14ac:dyDescent="0.3">
      <c r="A120" s="1"/>
      <c r="B120" s="1"/>
      <c r="C120" s="1"/>
      <c r="D120" s="1"/>
      <c r="E120" s="2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5" customHeight="1" x14ac:dyDescent="0.3">
      <c r="A121" s="1"/>
      <c r="B121" s="1"/>
      <c r="C121" s="1"/>
      <c r="D121" s="1"/>
      <c r="E121" s="2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5" customHeight="1" x14ac:dyDescent="0.3">
      <c r="A122" s="1"/>
      <c r="B122" s="1"/>
      <c r="C122" s="1"/>
      <c r="D122" s="1"/>
      <c r="E122" s="2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5" customHeight="1" x14ac:dyDescent="0.3">
      <c r="A123" s="1"/>
      <c r="B123" s="1"/>
      <c r="C123" s="1"/>
      <c r="D123" s="1"/>
      <c r="E123" s="2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5" customHeight="1" x14ac:dyDescent="0.3">
      <c r="A124" s="1"/>
      <c r="B124" s="1"/>
      <c r="C124" s="1"/>
      <c r="D124" s="1"/>
      <c r="E124" s="2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5" customHeight="1" x14ac:dyDescent="0.3">
      <c r="A125" s="1"/>
      <c r="B125" s="1"/>
      <c r="C125" s="1"/>
      <c r="D125" s="1"/>
      <c r="E125" s="2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5" customHeight="1" x14ac:dyDescent="0.3">
      <c r="A126" s="1"/>
      <c r="B126" s="1"/>
      <c r="C126" s="1"/>
      <c r="D126" s="1"/>
      <c r="E126" s="2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5" customHeight="1" x14ac:dyDescent="0.3">
      <c r="A127" s="1"/>
      <c r="B127" s="1"/>
      <c r="C127" s="1"/>
      <c r="D127" s="1"/>
      <c r="E127" s="2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5" customHeight="1" x14ac:dyDescent="0.3">
      <c r="A128" s="1"/>
      <c r="B128" s="1"/>
      <c r="C128" s="1"/>
      <c r="D128" s="1"/>
      <c r="E128" s="2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5" customHeight="1" x14ac:dyDescent="0.3">
      <c r="A129" s="1"/>
      <c r="B129" s="1"/>
      <c r="C129" s="1"/>
      <c r="D129" s="1"/>
      <c r="E129" s="2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5" customHeight="1" x14ac:dyDescent="0.3">
      <c r="A130" s="1"/>
      <c r="B130" s="1"/>
      <c r="C130" s="1"/>
      <c r="D130" s="1"/>
      <c r="E130" s="2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5" customHeight="1" x14ac:dyDescent="0.3">
      <c r="A131" s="1"/>
      <c r="B131" s="1"/>
      <c r="C131" s="1"/>
      <c r="D131" s="1"/>
      <c r="E131" s="2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5" customHeight="1" x14ac:dyDescent="0.3">
      <c r="A132" s="1"/>
      <c r="B132" s="1"/>
      <c r="C132" s="1"/>
      <c r="D132" s="1"/>
      <c r="E132" s="2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5" customHeight="1" x14ac:dyDescent="0.3">
      <c r="A133" s="1"/>
      <c r="B133" s="1"/>
      <c r="C133" s="1"/>
      <c r="D133" s="1"/>
      <c r="E133" s="2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5" customHeight="1" x14ac:dyDescent="0.3">
      <c r="A134" s="1"/>
      <c r="B134" s="1"/>
      <c r="C134" s="1"/>
      <c r="D134" s="1"/>
      <c r="E134" s="2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5" customHeight="1" x14ac:dyDescent="0.3">
      <c r="A135" s="1"/>
      <c r="B135" s="1"/>
      <c r="C135" s="1"/>
      <c r="D135" s="1"/>
      <c r="E135" s="2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5" customHeight="1" x14ac:dyDescent="0.3">
      <c r="A136" s="1"/>
      <c r="B136" s="1"/>
      <c r="C136" s="1"/>
      <c r="D136" s="1"/>
      <c r="E136" s="2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5" customHeight="1" x14ac:dyDescent="0.3">
      <c r="A137" s="1"/>
      <c r="B137" s="1"/>
      <c r="C137" s="1"/>
      <c r="D137" s="1"/>
      <c r="E137" s="2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 x14ac:dyDescent="0.3">
      <c r="A138" s="1"/>
      <c r="B138" s="1"/>
      <c r="C138" s="1"/>
      <c r="D138" s="1"/>
      <c r="E138" s="2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 x14ac:dyDescent="0.3">
      <c r="A139" s="1"/>
      <c r="B139" s="1"/>
      <c r="C139" s="1"/>
      <c r="D139" s="1"/>
      <c r="E139" s="2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 x14ac:dyDescent="0.3">
      <c r="A140" s="1"/>
      <c r="B140" s="1"/>
      <c r="C140" s="1"/>
      <c r="D140" s="1"/>
      <c r="E140" s="2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 x14ac:dyDescent="0.3">
      <c r="A141" s="1"/>
      <c r="B141" s="1"/>
      <c r="C141" s="1"/>
      <c r="D141" s="1"/>
      <c r="E141" s="2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 x14ac:dyDescent="0.3">
      <c r="A142" s="1"/>
      <c r="B142" s="1"/>
      <c r="C142" s="1"/>
      <c r="D142" s="1"/>
      <c r="E142" s="2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 x14ac:dyDescent="0.3">
      <c r="A143" s="1"/>
      <c r="B143" s="1"/>
      <c r="C143" s="1"/>
      <c r="D143" s="1"/>
      <c r="E143" s="2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 x14ac:dyDescent="0.3">
      <c r="A144" s="1"/>
      <c r="B144" s="1"/>
      <c r="C144" s="1"/>
      <c r="D144" s="1"/>
      <c r="E144" s="2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 x14ac:dyDescent="0.3">
      <c r="A145" s="1"/>
      <c r="B145" s="1"/>
      <c r="C145" s="1"/>
      <c r="D145" s="1"/>
      <c r="E145" s="2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 x14ac:dyDescent="0.3">
      <c r="A146" s="1"/>
      <c r="B146" s="1"/>
      <c r="C146" s="1"/>
      <c r="D146" s="1"/>
      <c r="E146" s="2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 x14ac:dyDescent="0.3">
      <c r="A147" s="1"/>
      <c r="B147" s="1"/>
      <c r="C147" s="1"/>
      <c r="D147" s="1"/>
      <c r="E147" s="2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 x14ac:dyDescent="0.3">
      <c r="A148" s="1"/>
      <c r="B148" s="1"/>
      <c r="C148" s="1"/>
      <c r="D148" s="1"/>
      <c r="E148" s="2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 x14ac:dyDescent="0.3">
      <c r="A149" s="1"/>
      <c r="B149" s="1"/>
      <c r="C149" s="1"/>
      <c r="D149" s="1"/>
      <c r="E149" s="2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 x14ac:dyDescent="0.3">
      <c r="A150" s="1"/>
      <c r="B150" s="1"/>
      <c r="C150" s="1"/>
      <c r="D150" s="1"/>
      <c r="E150" s="2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 x14ac:dyDescent="0.3">
      <c r="A151" s="1"/>
      <c r="B151" s="1"/>
      <c r="C151" s="1"/>
      <c r="D151" s="1"/>
      <c r="E151" s="2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 x14ac:dyDescent="0.3">
      <c r="A152" s="1"/>
      <c r="B152" s="1"/>
      <c r="C152" s="1"/>
      <c r="D152" s="1"/>
      <c r="E152" s="2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 x14ac:dyDescent="0.3">
      <c r="A153" s="1"/>
      <c r="B153" s="1"/>
      <c r="C153" s="1"/>
      <c r="D153" s="1"/>
      <c r="E153" s="2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 x14ac:dyDescent="0.3">
      <c r="A154" s="1"/>
      <c r="B154" s="1"/>
      <c r="C154" s="1"/>
      <c r="D154" s="1"/>
      <c r="E154" s="2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 x14ac:dyDescent="0.3">
      <c r="A155" s="1"/>
      <c r="B155" s="1"/>
      <c r="C155" s="1"/>
      <c r="D155" s="1"/>
      <c r="E155" s="2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 x14ac:dyDescent="0.3">
      <c r="A156" s="1"/>
      <c r="B156" s="1"/>
      <c r="C156" s="1"/>
      <c r="D156" s="1"/>
      <c r="E156" s="2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 x14ac:dyDescent="0.3">
      <c r="A157" s="1"/>
      <c r="B157" s="1"/>
      <c r="C157" s="1"/>
      <c r="D157" s="1"/>
      <c r="E157" s="2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 x14ac:dyDescent="0.3">
      <c r="A158" s="1"/>
      <c r="B158" s="1"/>
      <c r="C158" s="1"/>
      <c r="D158" s="1"/>
      <c r="E158" s="2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 x14ac:dyDescent="0.3">
      <c r="A159" s="1"/>
      <c r="B159" s="1"/>
      <c r="C159" s="1"/>
      <c r="D159" s="1"/>
      <c r="E159" s="2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 x14ac:dyDescent="0.3">
      <c r="A160" s="1"/>
      <c r="B160" s="1"/>
      <c r="C160" s="1"/>
      <c r="D160" s="1"/>
      <c r="E160" s="2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 x14ac:dyDescent="0.3">
      <c r="A161" s="1"/>
      <c r="B161" s="1"/>
      <c r="C161" s="1"/>
      <c r="D161" s="1"/>
      <c r="E161" s="2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 x14ac:dyDescent="0.3">
      <c r="A162" s="1"/>
      <c r="B162" s="1"/>
      <c r="C162" s="1"/>
      <c r="D162" s="1"/>
      <c r="E162" s="2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 x14ac:dyDescent="0.3">
      <c r="A163" s="1"/>
      <c r="B163" s="1"/>
      <c r="C163" s="1"/>
      <c r="D163" s="1"/>
      <c r="E163" s="2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 x14ac:dyDescent="0.3">
      <c r="A164" s="1"/>
      <c r="B164" s="1"/>
      <c r="C164" s="1"/>
      <c r="D164" s="1"/>
      <c r="E164" s="2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 x14ac:dyDescent="0.3">
      <c r="A165" s="1"/>
      <c r="B165" s="1"/>
      <c r="C165" s="1"/>
      <c r="D165" s="1"/>
      <c r="E165" s="2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 x14ac:dyDescent="0.3">
      <c r="A166" s="1"/>
      <c r="B166" s="1"/>
      <c r="C166" s="1"/>
      <c r="D166" s="1"/>
      <c r="E166" s="2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 x14ac:dyDescent="0.3">
      <c r="A167" s="1"/>
      <c r="B167" s="1"/>
      <c r="C167" s="1"/>
      <c r="D167" s="1"/>
      <c r="E167" s="2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 x14ac:dyDescent="0.3">
      <c r="A168" s="1"/>
      <c r="B168" s="1"/>
      <c r="C168" s="1"/>
      <c r="D168" s="1"/>
      <c r="E168" s="2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 x14ac:dyDescent="0.3">
      <c r="A169" s="1"/>
      <c r="B169" s="1"/>
      <c r="C169" s="1"/>
      <c r="D169" s="1"/>
      <c r="E169" s="2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 x14ac:dyDescent="0.3">
      <c r="A170" s="1"/>
      <c r="B170" s="1"/>
      <c r="C170" s="1"/>
      <c r="D170" s="1"/>
      <c r="E170" s="2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 x14ac:dyDescent="0.3">
      <c r="A171" s="1"/>
      <c r="B171" s="1"/>
      <c r="C171" s="1"/>
      <c r="D171" s="1"/>
      <c r="E171" s="2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 x14ac:dyDescent="0.3">
      <c r="A172" s="1"/>
      <c r="B172" s="1"/>
      <c r="C172" s="1"/>
      <c r="D172" s="1"/>
      <c r="E172" s="2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 x14ac:dyDescent="0.3">
      <c r="A173" s="1"/>
      <c r="B173" s="1"/>
      <c r="C173" s="1"/>
      <c r="D173" s="1"/>
      <c r="E173" s="2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 x14ac:dyDescent="0.3">
      <c r="A174" s="1"/>
      <c r="B174" s="1"/>
      <c r="C174" s="1"/>
      <c r="D174" s="1"/>
      <c r="E174" s="2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 x14ac:dyDescent="0.3">
      <c r="A175" s="1"/>
      <c r="B175" s="1"/>
      <c r="C175" s="1"/>
      <c r="D175" s="1"/>
      <c r="E175" s="2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 x14ac:dyDescent="0.3">
      <c r="A176" s="1"/>
      <c r="B176" s="1"/>
      <c r="C176" s="1"/>
      <c r="D176" s="1"/>
      <c r="E176" s="2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 x14ac:dyDescent="0.3">
      <c r="A177" s="1"/>
      <c r="B177" s="1"/>
      <c r="C177" s="1"/>
      <c r="D177" s="1"/>
      <c r="E177" s="2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 x14ac:dyDescent="0.3">
      <c r="A178" s="1"/>
      <c r="B178" s="1"/>
      <c r="C178" s="1"/>
      <c r="D178" s="1"/>
      <c r="E178" s="2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 x14ac:dyDescent="0.3">
      <c r="A179" s="1"/>
      <c r="B179" s="1"/>
      <c r="C179" s="1"/>
      <c r="D179" s="1"/>
      <c r="E179" s="2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 x14ac:dyDescent="0.3">
      <c r="A180" s="1"/>
      <c r="B180" s="1"/>
      <c r="C180" s="1"/>
      <c r="D180" s="1"/>
      <c r="E180" s="2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 x14ac:dyDescent="0.3">
      <c r="A181" s="1"/>
      <c r="B181" s="1"/>
      <c r="C181" s="1"/>
      <c r="D181" s="1"/>
      <c r="E181" s="2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 x14ac:dyDescent="0.3">
      <c r="A182" s="1"/>
      <c r="B182" s="1"/>
      <c r="C182" s="1"/>
      <c r="D182" s="1"/>
      <c r="E182" s="2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 x14ac:dyDescent="0.3">
      <c r="A183" s="1"/>
      <c r="B183" s="1"/>
      <c r="C183" s="1"/>
      <c r="D183" s="1"/>
      <c r="E183" s="2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 x14ac:dyDescent="0.3">
      <c r="A184" s="1"/>
      <c r="B184" s="1"/>
      <c r="C184" s="1"/>
      <c r="D184" s="1"/>
      <c r="E184" s="2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 x14ac:dyDescent="0.3">
      <c r="A185" s="1"/>
      <c r="B185" s="1"/>
      <c r="C185" s="1"/>
      <c r="D185" s="1"/>
      <c r="E185" s="2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 x14ac:dyDescent="0.3">
      <c r="A186" s="1"/>
      <c r="B186" s="1"/>
      <c r="C186" s="1"/>
      <c r="D186" s="1"/>
      <c r="E186" s="2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 x14ac:dyDescent="0.3">
      <c r="A187" s="1"/>
      <c r="B187" s="1"/>
      <c r="C187" s="1"/>
      <c r="D187" s="1"/>
      <c r="E187" s="2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 x14ac:dyDescent="0.3">
      <c r="A188" s="1"/>
      <c r="B188" s="1"/>
      <c r="C188" s="1"/>
      <c r="D188" s="1"/>
      <c r="E188" s="2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 x14ac:dyDescent="0.3">
      <c r="A189" s="1"/>
      <c r="B189" s="1"/>
      <c r="C189" s="1"/>
      <c r="D189" s="1"/>
      <c r="E189" s="2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 x14ac:dyDescent="0.3">
      <c r="A190" s="1"/>
      <c r="B190" s="1"/>
      <c r="C190" s="1"/>
      <c r="D190" s="1"/>
      <c r="E190" s="2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 x14ac:dyDescent="0.3">
      <c r="A191" s="1"/>
      <c r="B191" s="1"/>
      <c r="C191" s="1"/>
      <c r="D191" s="1"/>
      <c r="E191" s="2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 x14ac:dyDescent="0.3">
      <c r="A192" s="1"/>
      <c r="B192" s="1"/>
      <c r="C192" s="1"/>
      <c r="D192" s="1"/>
      <c r="E192" s="2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 x14ac:dyDescent="0.3">
      <c r="A193" s="1"/>
      <c r="B193" s="1"/>
      <c r="C193" s="1"/>
      <c r="D193" s="1"/>
      <c r="E193" s="2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 x14ac:dyDescent="0.3">
      <c r="A194" s="1"/>
      <c r="B194" s="1"/>
      <c r="C194" s="1"/>
      <c r="D194" s="1"/>
      <c r="E194" s="2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 x14ac:dyDescent="0.3">
      <c r="A195" s="1"/>
      <c r="B195" s="1"/>
      <c r="C195" s="1"/>
      <c r="D195" s="1"/>
      <c r="E195" s="2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 x14ac:dyDescent="0.3">
      <c r="A196" s="1"/>
      <c r="B196" s="1"/>
      <c r="C196" s="1"/>
      <c r="D196" s="1"/>
      <c r="E196" s="2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 x14ac:dyDescent="0.3">
      <c r="A197" s="1"/>
      <c r="B197" s="1"/>
      <c r="C197" s="1"/>
      <c r="D197" s="1"/>
      <c r="E197" s="2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 x14ac:dyDescent="0.3">
      <c r="A198" s="1"/>
      <c r="B198" s="1"/>
      <c r="C198" s="1"/>
      <c r="D198" s="1"/>
      <c r="E198" s="2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 x14ac:dyDescent="0.3">
      <c r="A199" s="1"/>
      <c r="B199" s="1"/>
      <c r="C199" s="1"/>
      <c r="D199" s="1"/>
      <c r="E199" s="2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 x14ac:dyDescent="0.3">
      <c r="A200" s="1"/>
      <c r="B200" s="1"/>
      <c r="C200" s="1"/>
      <c r="D200" s="1"/>
      <c r="E200" s="2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 x14ac:dyDescent="0.3">
      <c r="A201" s="1"/>
      <c r="B201" s="1"/>
      <c r="C201" s="1"/>
      <c r="D201" s="1"/>
      <c r="E201" s="2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 x14ac:dyDescent="0.3">
      <c r="A202" s="1"/>
      <c r="B202" s="1"/>
      <c r="C202" s="1"/>
      <c r="D202" s="1"/>
      <c r="E202" s="2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 x14ac:dyDescent="0.3">
      <c r="A203" s="1"/>
      <c r="B203" s="1"/>
      <c r="C203" s="1"/>
      <c r="D203" s="1"/>
      <c r="E203" s="2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 x14ac:dyDescent="0.3">
      <c r="A204" s="1"/>
      <c r="B204" s="1"/>
      <c r="C204" s="1"/>
      <c r="D204" s="1"/>
      <c r="E204" s="2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 x14ac:dyDescent="0.3">
      <c r="A205" s="1"/>
      <c r="B205" s="1"/>
      <c r="C205" s="1"/>
      <c r="D205" s="1"/>
      <c r="E205" s="2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 x14ac:dyDescent="0.3">
      <c r="A206" s="1"/>
      <c r="B206" s="1"/>
      <c r="C206" s="1"/>
      <c r="D206" s="1"/>
      <c r="E206" s="2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 x14ac:dyDescent="0.3">
      <c r="A207" s="1"/>
      <c r="B207" s="1"/>
      <c r="C207" s="1"/>
      <c r="D207" s="1"/>
      <c r="E207" s="2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 x14ac:dyDescent="0.3">
      <c r="A208" s="1"/>
      <c r="B208" s="1"/>
      <c r="C208" s="1"/>
      <c r="D208" s="1"/>
      <c r="E208" s="2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 x14ac:dyDescent="0.3">
      <c r="A209" s="1"/>
      <c r="B209" s="1"/>
      <c r="C209" s="1"/>
      <c r="D209" s="1"/>
      <c r="E209" s="2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 x14ac:dyDescent="0.3">
      <c r="A210" s="1"/>
      <c r="B210" s="1"/>
      <c r="C210" s="1"/>
      <c r="D210" s="1"/>
      <c r="E210" s="2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 x14ac:dyDescent="0.3">
      <c r="A211" s="1"/>
      <c r="B211" s="1"/>
      <c r="C211" s="1"/>
      <c r="D211" s="1"/>
      <c r="E211" s="2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 x14ac:dyDescent="0.3">
      <c r="A212" s="1"/>
      <c r="B212" s="1"/>
      <c r="C212" s="1"/>
      <c r="D212" s="1"/>
      <c r="E212" s="2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 x14ac:dyDescent="0.3">
      <c r="A213" s="1"/>
      <c r="B213" s="1"/>
      <c r="C213" s="1"/>
      <c r="D213" s="1"/>
      <c r="E213" s="2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 x14ac:dyDescent="0.3">
      <c r="A214" s="1"/>
      <c r="B214" s="1"/>
      <c r="C214" s="1"/>
      <c r="D214" s="1"/>
      <c r="E214" s="2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 x14ac:dyDescent="0.3">
      <c r="A215" s="1"/>
      <c r="B215" s="1"/>
      <c r="C215" s="1"/>
      <c r="D215" s="1"/>
      <c r="E215" s="2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 x14ac:dyDescent="0.3">
      <c r="A216" s="1"/>
      <c r="B216" s="1"/>
      <c r="C216" s="1"/>
      <c r="D216" s="1"/>
      <c r="E216" s="2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 x14ac:dyDescent="0.3">
      <c r="A217" s="1"/>
      <c r="B217" s="1"/>
      <c r="C217" s="1"/>
      <c r="D217" s="1"/>
      <c r="E217" s="2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 x14ac:dyDescent="0.3">
      <c r="A218" s="1"/>
      <c r="B218" s="1"/>
      <c r="C218" s="1"/>
      <c r="D218" s="1"/>
      <c r="E218" s="2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 x14ac:dyDescent="0.3">
      <c r="A219" s="1"/>
      <c r="B219" s="1"/>
      <c r="C219" s="1"/>
      <c r="D219" s="1"/>
      <c r="E219" s="2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 x14ac:dyDescent="0.3">
      <c r="A220" s="1"/>
      <c r="B220" s="1"/>
      <c r="C220" s="1"/>
      <c r="D220" s="1"/>
      <c r="E220" s="2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 x14ac:dyDescent="0.3">
      <c r="A221" s="1"/>
      <c r="B221" s="1"/>
      <c r="C221" s="1"/>
      <c r="D221" s="1"/>
      <c r="E221" s="2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 x14ac:dyDescent="0.3">
      <c r="A222" s="1"/>
      <c r="B222" s="1"/>
      <c r="C222" s="1"/>
      <c r="D222" s="1"/>
      <c r="E222" s="2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 x14ac:dyDescent="0.3">
      <c r="A223" s="1"/>
      <c r="B223" s="1"/>
      <c r="C223" s="1"/>
      <c r="D223" s="1"/>
      <c r="E223" s="2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 x14ac:dyDescent="0.3">
      <c r="A224" s="1"/>
      <c r="B224" s="1"/>
      <c r="C224" s="1"/>
      <c r="D224" s="1"/>
      <c r="E224" s="2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 x14ac:dyDescent="0.3">
      <c r="A225" s="1"/>
      <c r="B225" s="1"/>
      <c r="C225" s="1"/>
      <c r="D225" s="1"/>
      <c r="E225" s="2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 x14ac:dyDescent="0.3">
      <c r="A226" s="1"/>
      <c r="B226" s="1"/>
      <c r="C226" s="1"/>
      <c r="D226" s="1"/>
      <c r="E226" s="2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 x14ac:dyDescent="0.3">
      <c r="A227" s="1"/>
      <c r="B227" s="1"/>
      <c r="C227" s="1"/>
      <c r="D227" s="1"/>
      <c r="E227" s="2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 x14ac:dyDescent="0.3">
      <c r="A228" s="1"/>
      <c r="B228" s="1"/>
      <c r="C228" s="1"/>
      <c r="D228" s="1"/>
      <c r="E228" s="2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 x14ac:dyDescent="0.3">
      <c r="A229" s="1"/>
      <c r="B229" s="1"/>
      <c r="C229" s="1"/>
      <c r="D229" s="1"/>
      <c r="E229" s="2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 x14ac:dyDescent="0.3">
      <c r="A230" s="1"/>
      <c r="B230" s="1"/>
      <c r="C230" s="1"/>
      <c r="D230" s="1"/>
      <c r="E230" s="2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 x14ac:dyDescent="0.3">
      <c r="A231" s="1"/>
      <c r="B231" s="1"/>
      <c r="C231" s="1"/>
      <c r="D231" s="1"/>
      <c r="E231" s="2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 x14ac:dyDescent="0.3">
      <c r="A232" s="1"/>
      <c r="B232" s="1"/>
      <c r="C232" s="1"/>
      <c r="D232" s="1"/>
      <c r="E232" s="2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 x14ac:dyDescent="0.3">
      <c r="A233" s="1"/>
      <c r="B233" s="1"/>
      <c r="C233" s="1"/>
      <c r="D233" s="1"/>
      <c r="E233" s="2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 x14ac:dyDescent="0.3">
      <c r="A234" s="1"/>
      <c r="B234" s="1"/>
      <c r="C234" s="1"/>
      <c r="D234" s="1"/>
      <c r="E234" s="2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 x14ac:dyDescent="0.3">
      <c r="A235" s="1"/>
      <c r="B235" s="1"/>
      <c r="C235" s="1"/>
      <c r="D235" s="1"/>
      <c r="E235" s="2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 x14ac:dyDescent="0.3">
      <c r="A236" s="1"/>
      <c r="B236" s="1"/>
      <c r="C236" s="1"/>
      <c r="D236" s="1"/>
      <c r="E236" s="2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 x14ac:dyDescent="0.3">
      <c r="A237" s="1"/>
      <c r="B237" s="1"/>
      <c r="C237" s="1"/>
      <c r="D237" s="1"/>
      <c r="E237" s="2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 x14ac:dyDescent="0.3">
      <c r="A238" s="1"/>
      <c r="B238" s="1"/>
      <c r="C238" s="1"/>
      <c r="D238" s="1"/>
      <c r="E238" s="2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 x14ac:dyDescent="0.3">
      <c r="A239" s="1"/>
      <c r="B239" s="1"/>
      <c r="C239" s="1"/>
      <c r="D239" s="1"/>
      <c r="E239" s="2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 x14ac:dyDescent="0.3">
      <c r="A240" s="1"/>
      <c r="B240" s="1"/>
      <c r="C240" s="1"/>
      <c r="D240" s="1"/>
      <c r="E240" s="2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 x14ac:dyDescent="0.3">
      <c r="A241" s="1"/>
      <c r="B241" s="1"/>
      <c r="C241" s="1"/>
      <c r="D241" s="1"/>
      <c r="E241" s="2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 x14ac:dyDescent="0.3">
      <c r="A242" s="1"/>
      <c r="B242" s="1"/>
      <c r="C242" s="1"/>
      <c r="D242" s="1"/>
      <c r="E242" s="2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 x14ac:dyDescent="0.3">
      <c r="A243" s="1"/>
      <c r="B243" s="1"/>
      <c r="C243" s="1"/>
      <c r="D243" s="1"/>
      <c r="E243" s="2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 x14ac:dyDescent="0.3">
      <c r="A244" s="1"/>
      <c r="B244" s="1"/>
      <c r="C244" s="1"/>
      <c r="D244" s="1"/>
      <c r="E244" s="2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 x14ac:dyDescent="0.3">
      <c r="A245" s="1"/>
      <c r="B245" s="1"/>
      <c r="C245" s="1"/>
      <c r="D245" s="1"/>
      <c r="E245" s="2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 x14ac:dyDescent="0.3">
      <c r="A246" s="1"/>
      <c r="B246" s="1"/>
      <c r="C246" s="1"/>
      <c r="D246" s="1"/>
      <c r="E246" s="2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 x14ac:dyDescent="0.3">
      <c r="A247" s="1"/>
      <c r="B247" s="1"/>
      <c r="C247" s="1"/>
      <c r="D247" s="1"/>
      <c r="E247" s="2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 x14ac:dyDescent="0.3">
      <c r="A248" s="1"/>
      <c r="B248" s="1"/>
      <c r="C248" s="1"/>
      <c r="D248" s="1"/>
      <c r="E248" s="2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 x14ac:dyDescent="0.3">
      <c r="A249" s="1"/>
      <c r="B249" s="1"/>
      <c r="C249" s="1"/>
      <c r="D249" s="1"/>
      <c r="E249" s="2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 x14ac:dyDescent="0.3">
      <c r="A250" s="1"/>
      <c r="B250" s="1"/>
      <c r="C250" s="1"/>
      <c r="D250" s="1"/>
      <c r="E250" s="2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 x14ac:dyDescent="0.3">
      <c r="A251" s="1"/>
      <c r="B251" s="1"/>
      <c r="C251" s="1"/>
      <c r="D251" s="1"/>
      <c r="E251" s="2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 x14ac:dyDescent="0.3">
      <c r="A252" s="1"/>
      <c r="B252" s="1"/>
      <c r="C252" s="1"/>
      <c r="D252" s="1"/>
      <c r="E252" s="2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 x14ac:dyDescent="0.3">
      <c r="A253" s="1"/>
      <c r="B253" s="1"/>
      <c r="C253" s="1"/>
      <c r="D253" s="1"/>
      <c r="E253" s="2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 x14ac:dyDescent="0.3">
      <c r="A254" s="1"/>
      <c r="B254" s="1"/>
      <c r="C254" s="1"/>
      <c r="D254" s="1"/>
      <c r="E254" s="2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 x14ac:dyDescent="0.3">
      <c r="A255" s="1"/>
      <c r="B255" s="1"/>
      <c r="C255" s="1"/>
      <c r="D255" s="1"/>
      <c r="E255" s="2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 x14ac:dyDescent="0.3">
      <c r="A256" s="1"/>
      <c r="B256" s="1"/>
      <c r="C256" s="1"/>
      <c r="D256" s="1"/>
      <c r="E256" s="2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 x14ac:dyDescent="0.3">
      <c r="A257" s="1"/>
      <c r="B257" s="1"/>
      <c r="C257" s="1"/>
      <c r="D257" s="1"/>
      <c r="E257" s="2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 x14ac:dyDescent="0.3">
      <c r="A258" s="1"/>
      <c r="B258" s="1"/>
      <c r="C258" s="1"/>
      <c r="D258" s="1"/>
      <c r="E258" s="2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 x14ac:dyDescent="0.3">
      <c r="A259" s="1"/>
      <c r="B259" s="1"/>
      <c r="C259" s="1"/>
      <c r="D259" s="1"/>
      <c r="E259" s="2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 x14ac:dyDescent="0.3">
      <c r="A260" s="1"/>
      <c r="B260" s="1"/>
      <c r="C260" s="1"/>
      <c r="D260" s="1"/>
      <c r="E260" s="2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 x14ac:dyDescent="0.3">
      <c r="A261" s="1"/>
      <c r="B261" s="1"/>
      <c r="C261" s="1"/>
      <c r="D261" s="1"/>
      <c r="E261" s="2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 x14ac:dyDescent="0.3">
      <c r="A262" s="1"/>
      <c r="B262" s="1"/>
      <c r="C262" s="1"/>
      <c r="D262" s="1"/>
      <c r="E262" s="2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 x14ac:dyDescent="0.3">
      <c r="A263" s="1"/>
      <c r="B263" s="1"/>
      <c r="C263" s="1"/>
      <c r="D263" s="1"/>
      <c r="E263" s="2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 x14ac:dyDescent="0.3">
      <c r="A264" s="1"/>
      <c r="B264" s="1"/>
      <c r="C264" s="1"/>
      <c r="D264" s="1"/>
      <c r="E264" s="2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 x14ac:dyDescent="0.3">
      <c r="A265" s="1"/>
      <c r="B265" s="1"/>
      <c r="C265" s="1"/>
      <c r="D265" s="1"/>
      <c r="E265" s="2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 x14ac:dyDescent="0.3">
      <c r="A266" s="1"/>
      <c r="B266" s="1"/>
      <c r="C266" s="1"/>
      <c r="D266" s="1"/>
      <c r="E266" s="2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 x14ac:dyDescent="0.3">
      <c r="A267" s="1"/>
      <c r="B267" s="1"/>
      <c r="C267" s="1"/>
      <c r="D267" s="1"/>
      <c r="E267" s="2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 x14ac:dyDescent="0.3">
      <c r="A268" s="1"/>
      <c r="B268" s="1"/>
      <c r="C268" s="1"/>
      <c r="D268" s="1"/>
      <c r="E268" s="2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 x14ac:dyDescent="0.3">
      <c r="A269" s="1"/>
      <c r="B269" s="1"/>
      <c r="C269" s="1"/>
      <c r="D269" s="1"/>
      <c r="E269" s="2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 x14ac:dyDescent="0.3">
      <c r="A270" s="1"/>
      <c r="B270" s="1"/>
      <c r="C270" s="1"/>
      <c r="D270" s="1"/>
      <c r="E270" s="2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 x14ac:dyDescent="0.3">
      <c r="A271" s="1"/>
      <c r="B271" s="1"/>
      <c r="C271" s="1"/>
      <c r="D271" s="1"/>
      <c r="E271" s="2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 x14ac:dyDescent="0.3">
      <c r="A272" s="1"/>
      <c r="B272" s="1"/>
      <c r="C272" s="1"/>
      <c r="D272" s="1"/>
      <c r="E272" s="2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 x14ac:dyDescent="0.3">
      <c r="A273" s="1"/>
      <c r="B273" s="1"/>
      <c r="C273" s="1"/>
      <c r="D273" s="1"/>
      <c r="E273" s="2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 x14ac:dyDescent="0.3">
      <c r="A274" s="1"/>
      <c r="B274" s="1"/>
      <c r="C274" s="1"/>
      <c r="D274" s="1"/>
      <c r="E274" s="2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 x14ac:dyDescent="0.3">
      <c r="A275" s="1"/>
      <c r="B275" s="1"/>
      <c r="C275" s="1"/>
      <c r="D275" s="1"/>
      <c r="E275" s="2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 x14ac:dyDescent="0.3">
      <c r="A276" s="1"/>
      <c r="B276" s="1"/>
      <c r="C276" s="1"/>
      <c r="D276" s="1"/>
      <c r="E276" s="2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 x14ac:dyDescent="0.3">
      <c r="A277" s="1"/>
      <c r="B277" s="1"/>
      <c r="C277" s="1"/>
      <c r="D277" s="1"/>
      <c r="E277" s="2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 x14ac:dyDescent="0.3">
      <c r="A278" s="1"/>
      <c r="B278" s="1"/>
      <c r="C278" s="1"/>
      <c r="D278" s="1"/>
      <c r="E278" s="2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 x14ac:dyDescent="0.3">
      <c r="A279" s="1"/>
      <c r="B279" s="1"/>
      <c r="C279" s="1"/>
      <c r="D279" s="1"/>
      <c r="E279" s="2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 x14ac:dyDescent="0.3">
      <c r="A280" s="1"/>
      <c r="B280" s="1"/>
      <c r="C280" s="1"/>
      <c r="D280" s="1"/>
      <c r="E280" s="2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 x14ac:dyDescent="0.3">
      <c r="A281" s="1"/>
      <c r="B281" s="1"/>
      <c r="C281" s="1"/>
      <c r="D281" s="1"/>
      <c r="E281" s="2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 x14ac:dyDescent="0.3">
      <c r="A282" s="1"/>
      <c r="B282" s="1"/>
      <c r="C282" s="1"/>
      <c r="D282" s="1"/>
      <c r="E282" s="2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 x14ac:dyDescent="0.3">
      <c r="A283" s="1"/>
      <c r="B283" s="1"/>
      <c r="C283" s="1"/>
      <c r="D283" s="1"/>
      <c r="E283" s="2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 x14ac:dyDescent="0.3">
      <c r="A284" s="1"/>
      <c r="B284" s="1"/>
      <c r="C284" s="1"/>
      <c r="D284" s="1"/>
      <c r="E284" s="2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 x14ac:dyDescent="0.3">
      <c r="A285" s="1"/>
      <c r="B285" s="1"/>
      <c r="C285" s="1"/>
      <c r="D285" s="1"/>
      <c r="E285" s="2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 x14ac:dyDescent="0.3">
      <c r="A286" s="1"/>
      <c r="B286" s="1"/>
      <c r="C286" s="1"/>
      <c r="D286" s="1"/>
      <c r="E286" s="2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 x14ac:dyDescent="0.3">
      <c r="A287" s="1"/>
      <c r="B287" s="1"/>
      <c r="C287" s="1"/>
      <c r="D287" s="1"/>
      <c r="E287" s="2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 x14ac:dyDescent="0.3">
      <c r="A288" s="1"/>
      <c r="B288" s="1"/>
      <c r="C288" s="1"/>
      <c r="D288" s="1"/>
      <c r="E288" s="2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 x14ac:dyDescent="0.3">
      <c r="A289" s="1"/>
      <c r="B289" s="1"/>
      <c r="C289" s="1"/>
      <c r="D289" s="1"/>
      <c r="E289" s="2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 x14ac:dyDescent="0.3">
      <c r="A290" s="1"/>
      <c r="B290" s="1"/>
      <c r="C290" s="1"/>
      <c r="D290" s="1"/>
      <c r="E290" s="2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 x14ac:dyDescent="0.3">
      <c r="A291" s="1"/>
      <c r="B291" s="1"/>
      <c r="C291" s="1"/>
      <c r="D291" s="1"/>
      <c r="E291" s="2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 x14ac:dyDescent="0.3">
      <c r="A292" s="1"/>
      <c r="B292" s="1"/>
      <c r="C292" s="1"/>
      <c r="D292" s="1"/>
      <c r="E292" s="2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 x14ac:dyDescent="0.3">
      <c r="A293" s="1"/>
      <c r="B293" s="1"/>
      <c r="C293" s="1"/>
      <c r="D293" s="1"/>
      <c r="E293" s="2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 x14ac:dyDescent="0.3">
      <c r="A294" s="1"/>
      <c r="B294" s="1"/>
      <c r="C294" s="1"/>
      <c r="D294" s="1"/>
      <c r="E294" s="2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 x14ac:dyDescent="0.3">
      <c r="A295" s="1"/>
      <c r="B295" s="1"/>
      <c r="C295" s="1"/>
      <c r="D295" s="1"/>
      <c r="E295" s="2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 x14ac:dyDescent="0.3">
      <c r="A296" s="1"/>
      <c r="B296" s="1"/>
      <c r="C296" s="1"/>
      <c r="D296" s="1"/>
      <c r="E296" s="2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 x14ac:dyDescent="0.3">
      <c r="A297" s="1"/>
      <c r="B297" s="1"/>
      <c r="C297" s="1"/>
      <c r="D297" s="1"/>
      <c r="E297" s="2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 x14ac:dyDescent="0.3">
      <c r="A298" s="1"/>
      <c r="B298" s="1"/>
      <c r="C298" s="1"/>
      <c r="D298" s="1"/>
      <c r="E298" s="2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 x14ac:dyDescent="0.3">
      <c r="A299" s="1"/>
      <c r="B299" s="1"/>
      <c r="C299" s="1"/>
      <c r="D299" s="1"/>
      <c r="E299" s="2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 x14ac:dyDescent="0.3">
      <c r="A300" s="1"/>
      <c r="B300" s="1"/>
      <c r="C300" s="1"/>
      <c r="D300" s="1"/>
      <c r="E300" s="2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 x14ac:dyDescent="0.3">
      <c r="A301" s="1"/>
      <c r="B301" s="1"/>
      <c r="C301" s="1"/>
      <c r="D301" s="1"/>
      <c r="E301" s="2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 x14ac:dyDescent="0.3">
      <c r="A302" s="1"/>
      <c r="B302" s="1"/>
      <c r="C302" s="1"/>
      <c r="D302" s="1"/>
      <c r="E302" s="2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 x14ac:dyDescent="0.3">
      <c r="A303" s="1"/>
      <c r="B303" s="1"/>
      <c r="C303" s="1"/>
      <c r="D303" s="1"/>
      <c r="E303" s="2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 x14ac:dyDescent="0.3">
      <c r="A304" s="1"/>
      <c r="B304" s="1"/>
      <c r="C304" s="1"/>
      <c r="D304" s="1"/>
      <c r="E304" s="2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 x14ac:dyDescent="0.3">
      <c r="A305" s="1"/>
      <c r="B305" s="1"/>
      <c r="C305" s="1"/>
      <c r="D305" s="1"/>
      <c r="E305" s="2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 x14ac:dyDescent="0.3">
      <c r="A306" s="1"/>
      <c r="B306" s="1"/>
      <c r="C306" s="1"/>
      <c r="D306" s="1"/>
      <c r="E306" s="2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 x14ac:dyDescent="0.3">
      <c r="A307" s="1"/>
      <c r="B307" s="1"/>
      <c r="C307" s="1"/>
      <c r="D307" s="1"/>
      <c r="E307" s="2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 x14ac:dyDescent="0.3">
      <c r="A308" s="1"/>
      <c r="B308" s="1"/>
      <c r="C308" s="1"/>
      <c r="D308" s="1"/>
      <c r="E308" s="2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 x14ac:dyDescent="0.3">
      <c r="A309" s="1"/>
      <c r="B309" s="1"/>
      <c r="C309" s="1"/>
      <c r="D309" s="1"/>
      <c r="E309" s="2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 x14ac:dyDescent="0.3">
      <c r="A310" s="1"/>
      <c r="B310" s="1"/>
      <c r="C310" s="1"/>
      <c r="D310" s="1"/>
      <c r="E310" s="2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 x14ac:dyDescent="0.3">
      <c r="A311" s="1"/>
      <c r="B311" s="1"/>
      <c r="C311" s="1"/>
      <c r="D311" s="1"/>
      <c r="E311" s="2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 x14ac:dyDescent="0.3">
      <c r="A312" s="1"/>
      <c r="B312" s="1"/>
      <c r="C312" s="1"/>
      <c r="D312" s="1"/>
      <c r="E312" s="2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 x14ac:dyDescent="0.3">
      <c r="A313" s="1"/>
      <c r="B313" s="1"/>
      <c r="C313" s="1"/>
      <c r="D313" s="1"/>
      <c r="E313" s="2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 x14ac:dyDescent="0.3">
      <c r="A314" s="1"/>
      <c r="B314" s="1"/>
      <c r="C314" s="1"/>
      <c r="D314" s="1"/>
      <c r="E314" s="2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 x14ac:dyDescent="0.3">
      <c r="A315" s="1"/>
      <c r="B315" s="1"/>
      <c r="C315" s="1"/>
      <c r="D315" s="1"/>
      <c r="E315" s="2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 x14ac:dyDescent="0.3">
      <c r="A316" s="1"/>
      <c r="B316" s="1"/>
      <c r="C316" s="1"/>
      <c r="D316" s="1"/>
      <c r="E316" s="2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 x14ac:dyDescent="0.3">
      <c r="A317" s="1"/>
      <c r="B317" s="1"/>
      <c r="C317" s="1"/>
      <c r="D317" s="1"/>
      <c r="E317" s="2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 x14ac:dyDescent="0.3">
      <c r="A318" s="1"/>
      <c r="B318" s="1"/>
      <c r="C318" s="1"/>
      <c r="D318" s="1"/>
      <c r="E318" s="2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 x14ac:dyDescent="0.3">
      <c r="A319" s="1"/>
      <c r="B319" s="1"/>
      <c r="C319" s="1"/>
      <c r="D319" s="1"/>
      <c r="E319" s="2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 x14ac:dyDescent="0.3">
      <c r="A320" s="1"/>
      <c r="B320" s="1"/>
      <c r="C320" s="1"/>
      <c r="D320" s="1"/>
      <c r="E320" s="2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 x14ac:dyDescent="0.3">
      <c r="A321" s="1"/>
      <c r="B321" s="1"/>
      <c r="C321" s="1"/>
      <c r="D321" s="1"/>
      <c r="E321" s="2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 x14ac:dyDescent="0.3">
      <c r="A322" s="1"/>
      <c r="B322" s="1"/>
      <c r="C322" s="1"/>
      <c r="D322" s="1"/>
      <c r="E322" s="2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 x14ac:dyDescent="0.3">
      <c r="A323" s="1"/>
      <c r="B323" s="1"/>
      <c r="C323" s="1"/>
      <c r="D323" s="1"/>
      <c r="E323" s="2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 x14ac:dyDescent="0.3">
      <c r="A324" s="1"/>
      <c r="B324" s="1"/>
      <c r="C324" s="1"/>
      <c r="D324" s="1"/>
      <c r="E324" s="2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</sheetData>
  <mergeCells count="23">
    <mergeCell ref="A32:I32"/>
    <mergeCell ref="A26:H26"/>
    <mergeCell ref="A27:H27"/>
    <mergeCell ref="A28:I28"/>
    <mergeCell ref="A23:I23"/>
    <mergeCell ref="A31:I31"/>
    <mergeCell ref="B3:I3"/>
    <mergeCell ref="A6:C6"/>
    <mergeCell ref="A4:A5"/>
    <mergeCell ref="B24:D24"/>
    <mergeCell ref="B25:D25"/>
    <mergeCell ref="A1:F1"/>
    <mergeCell ref="G1:I1"/>
    <mergeCell ref="A2:B2"/>
    <mergeCell ref="C2:D2"/>
    <mergeCell ref="E2:F2"/>
    <mergeCell ref="G2:I2"/>
    <mergeCell ref="A29:E30"/>
    <mergeCell ref="F29:I30"/>
    <mergeCell ref="E4:I4"/>
    <mergeCell ref="E5:I5"/>
    <mergeCell ref="E6:I6"/>
    <mergeCell ref="A7:I7"/>
  </mergeCells>
  <hyperlinks>
    <hyperlink ref="G2" r:id="rId1" xr:uid="{10E62B74-B431-B54F-80CC-76FEC306057A}"/>
    <hyperlink ref="C2" r:id="rId2" xr:uid="{329DB8EF-6725-47A3-8038-DBF9E4979EF2}"/>
  </hyperlinks>
  <printOptions horizontalCentered="1"/>
  <pageMargins left="0.39583333333333331" right="0.25" top="0.50361111111111112" bottom="0.75" header="0" footer="0"/>
  <pageSetup paperSize="9" scale="74" orientation="portrait" r:id="rId3"/>
  <headerFooter>
    <oddFooter>&amp;L]&amp;R&amp;P de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82"/>
  <sheetViews>
    <sheetView showGridLines="0" workbookViewId="0">
      <selection activeCell="J13" sqref="J13"/>
    </sheetView>
  </sheetViews>
  <sheetFormatPr defaultColWidth="12.6328125" defaultRowHeight="15" customHeight="1" x14ac:dyDescent="0.25"/>
  <cols>
    <col min="1" max="1" width="3.6328125" customWidth="1"/>
    <col min="2" max="2" width="25.6328125" customWidth="1"/>
    <col min="3" max="3" width="64.6328125" customWidth="1"/>
    <col min="4" max="4" width="7.1796875" customWidth="1"/>
    <col min="5" max="5" width="15.453125" customWidth="1"/>
    <col min="6" max="6" width="3.6328125" customWidth="1"/>
    <col min="7" max="26" width="8.81640625" customWidth="1"/>
  </cols>
  <sheetData>
    <row r="1" spans="1:26" ht="30" customHeight="1" thickBot="1" x14ac:dyDescent="0.3">
      <c r="A1" s="22"/>
      <c r="B1" s="22"/>
      <c r="C1" s="22"/>
      <c r="D1" s="22"/>
      <c r="E1" s="22"/>
      <c r="F1" s="23"/>
      <c r="G1" s="24"/>
      <c r="H1" s="24"/>
      <c r="I1" s="24"/>
      <c r="J1" s="24"/>
      <c r="K1" s="24"/>
      <c r="L1" s="24"/>
      <c r="M1" s="24"/>
    </row>
    <row r="2" spans="1:26" ht="80.25" customHeight="1" x14ac:dyDescent="0.25">
      <c r="A2" s="22"/>
      <c r="B2" s="154"/>
      <c r="C2" s="155"/>
      <c r="D2" s="155"/>
      <c r="E2" s="156"/>
      <c r="F2" s="22"/>
    </row>
    <row r="3" spans="1:26" ht="33.75" customHeight="1" x14ac:dyDescent="0.25">
      <c r="A3" s="22"/>
      <c r="B3" s="63" t="s">
        <v>18</v>
      </c>
      <c r="C3" s="164" t="str">
        <f>TRIM(INVOICE!$G$1)</f>
        <v>INAE1352/26</v>
      </c>
      <c r="D3" s="165"/>
      <c r="E3" s="166"/>
      <c r="F3" s="22"/>
    </row>
    <row r="4" spans="1:26" ht="13.5" customHeight="1" thickBot="1" x14ac:dyDescent="0.3">
      <c r="A4" s="22"/>
      <c r="B4" s="64"/>
      <c r="C4" s="65"/>
      <c r="D4" s="65"/>
      <c r="E4" s="66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54" customHeight="1" x14ac:dyDescent="0.25">
      <c r="A5" s="22"/>
      <c r="B5" s="77" t="s">
        <v>19</v>
      </c>
      <c r="C5" s="160" t="str">
        <f>TRIM(INVOICE!$B$3)</f>
        <v>Nina Matalasova
Valeriia Polozova</v>
      </c>
      <c r="D5" s="161"/>
      <c r="E5" s="162"/>
      <c r="F5" s="22"/>
    </row>
    <row r="6" spans="1:26" ht="39.75" customHeight="1" x14ac:dyDescent="0.25">
      <c r="A6" s="22"/>
      <c r="B6" s="77" t="s">
        <v>11</v>
      </c>
      <c r="C6" s="163" t="str">
        <f>TRIM(INVOICE!E9)</f>
        <v>Manaus</v>
      </c>
      <c r="D6" s="142"/>
      <c r="E6" s="137"/>
      <c r="F6" s="22"/>
    </row>
    <row r="7" spans="1:26" ht="39.75" customHeight="1" x14ac:dyDescent="0.25">
      <c r="A7" s="22"/>
      <c r="B7" s="77" t="s">
        <v>20</v>
      </c>
      <c r="C7" s="163" t="str">
        <f>TRIM(INVOICE!B9)</f>
        <v>Evolucao Ecolodge</v>
      </c>
      <c r="D7" s="142"/>
      <c r="E7" s="137"/>
      <c r="F7" s="22"/>
    </row>
    <row r="8" spans="1:26" ht="39.75" customHeight="1" x14ac:dyDescent="0.25">
      <c r="A8" s="22"/>
      <c r="B8" s="77" t="s">
        <v>21</v>
      </c>
      <c r="C8" s="67" t="str">
        <f>TRIM(INVOICE!C9)</f>
        <v>SGL Cahlet</v>
      </c>
      <c r="D8" s="68" t="s">
        <v>22</v>
      </c>
      <c r="E8" s="69" t="str">
        <f>TRIM(INVOICE!G9)</f>
        <v>2</v>
      </c>
      <c r="F8" s="22"/>
    </row>
    <row r="9" spans="1:26" ht="39.5" customHeight="1" x14ac:dyDescent="0.25">
      <c r="A9" s="22"/>
      <c r="B9" s="77" t="s">
        <v>10</v>
      </c>
      <c r="C9" s="163" t="str">
        <f>TRIM(INVOICE!D9)</f>
        <v>Full board</v>
      </c>
      <c r="D9" s="142"/>
      <c r="E9" s="137"/>
      <c r="F9" s="22"/>
    </row>
    <row r="10" spans="1:26" ht="39.75" customHeight="1" x14ac:dyDescent="0.25">
      <c r="A10" s="22"/>
      <c r="B10" s="77" t="s">
        <v>23</v>
      </c>
      <c r="C10" s="163" t="str">
        <f>TRIM(INVOICE!A9)</f>
        <v>Check In: 08.05.2026 
Check Out: 10.05.2026</v>
      </c>
      <c r="D10" s="142"/>
      <c r="E10" s="137"/>
      <c r="F10" s="22"/>
    </row>
    <row r="11" spans="1:26" ht="39.75" customHeight="1" x14ac:dyDescent="0.25">
      <c r="A11" s="22"/>
      <c r="B11" s="77" t="s">
        <v>24</v>
      </c>
      <c r="C11" s="163"/>
      <c r="D11" s="142"/>
      <c r="E11" s="137"/>
      <c r="F11" s="22"/>
    </row>
    <row r="12" spans="1:26" ht="39.75" customHeight="1" thickBot="1" x14ac:dyDescent="0.3">
      <c r="A12" s="22"/>
      <c r="B12" s="78" t="s">
        <v>25</v>
      </c>
      <c r="C12" s="151"/>
      <c r="D12" s="152"/>
      <c r="E12" s="153"/>
      <c r="F12" s="22"/>
    </row>
    <row r="13" spans="1:26" ht="32.25" customHeight="1" x14ac:dyDescent="0.25">
      <c r="A13" s="22"/>
      <c r="B13" s="150"/>
      <c r="C13" s="142"/>
      <c r="D13" s="62"/>
      <c r="E13" s="62"/>
      <c r="F13" s="22"/>
    </row>
    <row r="14" spans="1:26" ht="32.25" customHeight="1" x14ac:dyDescent="0.25">
      <c r="A14" s="22"/>
      <c r="B14" s="142"/>
      <c r="C14" s="142"/>
      <c r="D14" s="62"/>
      <c r="E14" s="62"/>
      <c r="F14" s="22"/>
    </row>
    <row r="15" spans="1:26" ht="32.25" customHeight="1" x14ac:dyDescent="0.25">
      <c r="A15" s="22"/>
      <c r="B15" s="142"/>
      <c r="C15" s="142"/>
      <c r="D15" s="62"/>
      <c r="E15" s="62"/>
      <c r="F15" s="22"/>
    </row>
    <row r="16" spans="1:26" ht="33" customHeight="1" thickBot="1" x14ac:dyDescent="0.3">
      <c r="A16" s="22"/>
      <c r="B16" s="22"/>
      <c r="C16" s="22"/>
      <c r="D16" s="22"/>
      <c r="E16" s="22"/>
      <c r="F16" s="22"/>
    </row>
    <row r="17" spans="1:13" ht="80" customHeight="1" x14ac:dyDescent="0.25">
      <c r="A17" s="22"/>
      <c r="B17" s="154"/>
      <c r="C17" s="155"/>
      <c r="D17" s="155"/>
      <c r="E17" s="156"/>
      <c r="F17" s="22"/>
    </row>
    <row r="18" spans="1:13" ht="33.75" customHeight="1" x14ac:dyDescent="0.25">
      <c r="A18" s="22"/>
      <c r="B18" s="70" t="s">
        <v>18</v>
      </c>
      <c r="C18" s="157" t="str">
        <f>TRIM(INVOICE!$G$1)</f>
        <v>INAE1352/26</v>
      </c>
      <c r="D18" s="158"/>
      <c r="E18" s="159"/>
      <c r="F18" s="22"/>
    </row>
    <row r="19" spans="1:13" ht="13.5" customHeight="1" thickBot="1" x14ac:dyDescent="0.3">
      <c r="B19" s="64"/>
      <c r="C19" s="65"/>
      <c r="D19" s="65"/>
      <c r="E19" s="66"/>
    </row>
    <row r="20" spans="1:13" ht="54" customHeight="1" x14ac:dyDescent="0.25">
      <c r="A20" s="22"/>
      <c r="B20" s="77" t="s">
        <v>19</v>
      </c>
      <c r="C20" s="160" t="str">
        <f>TRIM(INVOICE!$B$3)</f>
        <v>Nina Matalasova
Valeriia Polozova</v>
      </c>
      <c r="D20" s="161"/>
      <c r="E20" s="162"/>
      <c r="F20" s="22"/>
    </row>
    <row r="21" spans="1:13" ht="39.75" customHeight="1" x14ac:dyDescent="0.25">
      <c r="A21" s="22"/>
      <c r="B21" s="77" t="s">
        <v>11</v>
      </c>
      <c r="C21" s="163" t="str">
        <f>TRIM(INVOICE!E9)</f>
        <v>Manaus</v>
      </c>
      <c r="D21" s="142"/>
      <c r="E21" s="137"/>
      <c r="F21" s="23"/>
      <c r="G21" s="24"/>
      <c r="H21" s="24"/>
      <c r="I21" s="24"/>
      <c r="J21" s="24"/>
      <c r="K21" s="24"/>
      <c r="L21" s="24"/>
      <c r="M21" s="24"/>
    </row>
    <row r="22" spans="1:13" ht="39.75" customHeight="1" x14ac:dyDescent="0.25">
      <c r="A22" s="22"/>
      <c r="B22" s="77" t="s">
        <v>20</v>
      </c>
      <c r="C22" s="163" t="str">
        <f>TRIM(INVOICE!B9)</f>
        <v>Evolucao Ecolodge</v>
      </c>
      <c r="D22" s="142"/>
      <c r="E22" s="137"/>
      <c r="F22" s="22"/>
    </row>
    <row r="23" spans="1:13" ht="39.75" customHeight="1" x14ac:dyDescent="0.25">
      <c r="A23" s="22"/>
      <c r="B23" s="77" t="s">
        <v>21</v>
      </c>
      <c r="C23" s="67" t="str">
        <f>TRIM(INVOICE!C9)</f>
        <v>SGL Cahlet</v>
      </c>
      <c r="D23" s="68" t="s">
        <v>22</v>
      </c>
      <c r="E23" s="69" t="str">
        <f>TRIM(INVOICE!G9)</f>
        <v>2</v>
      </c>
      <c r="F23" s="22"/>
    </row>
    <row r="24" spans="1:13" ht="39.75" customHeight="1" x14ac:dyDescent="0.25">
      <c r="A24" s="22"/>
      <c r="B24" s="77" t="s">
        <v>10</v>
      </c>
      <c r="C24" s="163" t="str">
        <f>TRIM(INVOICE!D9)</f>
        <v>Full board</v>
      </c>
      <c r="D24" s="142"/>
      <c r="E24" s="137"/>
      <c r="F24" s="22"/>
    </row>
    <row r="25" spans="1:13" ht="39.75" customHeight="1" x14ac:dyDescent="0.25">
      <c r="A25" s="22"/>
      <c r="B25" s="77" t="s">
        <v>23</v>
      </c>
      <c r="C25" s="163" t="str">
        <f>TRIM(INVOICE!A9)</f>
        <v>Check In: 08.05.2026 
Check Out: 10.05.2026</v>
      </c>
      <c r="D25" s="142"/>
      <c r="E25" s="137"/>
      <c r="F25" s="22"/>
    </row>
    <row r="26" spans="1:13" ht="39.75" customHeight="1" x14ac:dyDescent="0.25">
      <c r="A26" s="22"/>
      <c r="B26" s="77" t="s">
        <v>24</v>
      </c>
      <c r="C26" s="163"/>
      <c r="D26" s="142"/>
      <c r="E26" s="137"/>
      <c r="F26" s="22"/>
    </row>
    <row r="27" spans="1:13" ht="39.75" customHeight="1" thickBot="1" x14ac:dyDescent="0.3">
      <c r="A27" s="22"/>
      <c r="B27" s="78" t="s">
        <v>25</v>
      </c>
      <c r="C27" s="151"/>
      <c r="D27" s="152"/>
      <c r="E27" s="153"/>
      <c r="F27" s="22"/>
    </row>
    <row r="28" spans="1:13" ht="99.75" customHeight="1" x14ac:dyDescent="0.25">
      <c r="A28" s="22"/>
      <c r="B28" s="150"/>
      <c r="C28" s="142"/>
      <c r="D28" s="62"/>
      <c r="E28" s="62"/>
      <c r="F28" s="22"/>
    </row>
    <row r="29" spans="1:13" ht="99.75" customHeight="1" x14ac:dyDescent="0.25">
      <c r="A29" s="22"/>
      <c r="B29" s="142"/>
      <c r="C29" s="142"/>
      <c r="D29" s="62"/>
      <c r="E29" s="62"/>
      <c r="F29" s="22"/>
    </row>
    <row r="30" spans="1:13" ht="3" customHeight="1" x14ac:dyDescent="0.25">
      <c r="A30" s="22"/>
      <c r="B30" s="22"/>
      <c r="C30" s="22"/>
      <c r="D30" s="22"/>
      <c r="E30" s="22"/>
      <c r="F30" s="22"/>
    </row>
    <row r="31" spans="1:13" ht="30.75" customHeight="1" x14ac:dyDescent="0.25">
      <c r="A31" s="22"/>
      <c r="B31" s="22"/>
      <c r="C31" s="22"/>
      <c r="D31" s="22"/>
      <c r="E31" s="22"/>
      <c r="F31" s="22"/>
    </row>
    <row r="32" spans="1:13" ht="33" customHeight="1" thickBot="1" x14ac:dyDescent="0.3">
      <c r="A32" s="22"/>
      <c r="B32" s="22"/>
      <c r="C32" s="22"/>
      <c r="D32" s="22"/>
      <c r="E32" s="22"/>
      <c r="F32" s="22"/>
    </row>
    <row r="33" spans="1:13" ht="80" customHeight="1" x14ac:dyDescent="0.25">
      <c r="A33" s="22"/>
      <c r="B33" s="154"/>
      <c r="C33" s="155"/>
      <c r="D33" s="155"/>
      <c r="E33" s="156"/>
      <c r="F33" s="22"/>
    </row>
    <row r="34" spans="1:13" ht="33.75" customHeight="1" x14ac:dyDescent="0.25">
      <c r="A34" s="22"/>
      <c r="B34" s="70" t="s">
        <v>18</v>
      </c>
      <c r="C34" s="157" t="str">
        <f>TRIM(INVOICE!$G$1)</f>
        <v>INAE1352/26</v>
      </c>
      <c r="D34" s="158"/>
      <c r="E34" s="159"/>
      <c r="F34" s="22"/>
    </row>
    <row r="35" spans="1:13" ht="13.5" customHeight="1" thickBot="1" x14ac:dyDescent="0.3">
      <c r="A35" s="22"/>
      <c r="B35" s="79"/>
      <c r="C35" s="43"/>
      <c r="D35" s="43"/>
      <c r="E35" s="80"/>
      <c r="F35" s="22"/>
    </row>
    <row r="36" spans="1:13" ht="54" customHeight="1" x14ac:dyDescent="0.25">
      <c r="A36" s="22"/>
      <c r="B36" s="77" t="s">
        <v>19</v>
      </c>
      <c r="C36" s="160" t="str">
        <f>TRIM(INVOICE!$B$3)</f>
        <v>Nina Matalasova
Valeriia Polozova</v>
      </c>
      <c r="D36" s="161"/>
      <c r="E36" s="162"/>
      <c r="F36" s="22"/>
    </row>
    <row r="37" spans="1:13" ht="39.5" customHeight="1" x14ac:dyDescent="0.25">
      <c r="A37" s="22"/>
      <c r="B37" s="77" t="s">
        <v>11</v>
      </c>
      <c r="C37" s="163" t="str">
        <f>TRIM(INVOICE!E9)</f>
        <v>Manaus</v>
      </c>
      <c r="D37" s="142"/>
      <c r="E37" s="137"/>
      <c r="F37" s="22"/>
    </row>
    <row r="38" spans="1:13" ht="39.75" customHeight="1" x14ac:dyDescent="0.25">
      <c r="A38" s="22"/>
      <c r="B38" s="77" t="s">
        <v>20</v>
      </c>
      <c r="C38" s="163" t="str">
        <f>TRIM(INVOICE!B9)</f>
        <v>Evolucao Ecolodge</v>
      </c>
      <c r="D38" s="142"/>
      <c r="E38" s="137"/>
      <c r="F38" s="22"/>
    </row>
    <row r="39" spans="1:13" ht="39.75" customHeight="1" x14ac:dyDescent="0.25">
      <c r="A39" s="22"/>
      <c r="B39" s="77" t="s">
        <v>21</v>
      </c>
      <c r="C39" s="67" t="str">
        <f>TRIM(INVOICE!C9)</f>
        <v>SGL Cahlet</v>
      </c>
      <c r="D39" s="68" t="s">
        <v>22</v>
      </c>
      <c r="E39" s="69" t="str">
        <f>TRIM(INVOICE!G9)</f>
        <v>2</v>
      </c>
      <c r="F39" s="22"/>
    </row>
    <row r="40" spans="1:13" ht="39.75" customHeight="1" x14ac:dyDescent="0.25">
      <c r="A40" s="22"/>
      <c r="B40" s="77" t="s">
        <v>10</v>
      </c>
      <c r="C40" s="163" t="str">
        <f>TRIM(INVOICE!D9)</f>
        <v>Full board</v>
      </c>
      <c r="D40" s="142"/>
      <c r="E40" s="137"/>
      <c r="F40" s="22"/>
    </row>
    <row r="41" spans="1:13" ht="39.75" customHeight="1" x14ac:dyDescent="0.25">
      <c r="A41" s="22"/>
      <c r="B41" s="77" t="s">
        <v>23</v>
      </c>
      <c r="C41" s="163" t="str">
        <f>TRIM(INVOICE!A9)</f>
        <v>Check In: 08.05.2026 
Check Out: 10.05.2026</v>
      </c>
      <c r="D41" s="142"/>
      <c r="E41" s="137"/>
      <c r="F41" s="23"/>
      <c r="G41" s="24"/>
      <c r="H41" s="24"/>
      <c r="I41" s="24"/>
      <c r="J41" s="24"/>
      <c r="K41" s="24"/>
      <c r="L41" s="24"/>
      <c r="M41" s="24"/>
    </row>
    <row r="42" spans="1:13" ht="39.75" customHeight="1" x14ac:dyDescent="0.25">
      <c r="A42" s="22"/>
      <c r="B42" s="77" t="s">
        <v>24</v>
      </c>
      <c r="C42" s="163"/>
      <c r="D42" s="142"/>
      <c r="E42" s="137"/>
      <c r="F42" s="22"/>
    </row>
    <row r="43" spans="1:13" ht="39.75" customHeight="1" thickBot="1" x14ac:dyDescent="0.3">
      <c r="A43" s="22"/>
      <c r="B43" s="78" t="s">
        <v>25</v>
      </c>
      <c r="C43" s="151"/>
      <c r="D43" s="152"/>
      <c r="E43" s="153"/>
      <c r="F43" s="22"/>
    </row>
    <row r="44" spans="1:13" ht="99.75" customHeight="1" x14ac:dyDescent="0.25">
      <c r="A44" s="22"/>
      <c r="B44" s="22"/>
      <c r="C44" s="26"/>
      <c r="D44" s="26"/>
      <c r="E44" s="26"/>
      <c r="F44" s="22"/>
    </row>
    <row r="45" spans="1:13" ht="99.75" customHeight="1" x14ac:dyDescent="0.25">
      <c r="A45" s="22"/>
      <c r="B45" s="22"/>
      <c r="C45" s="26"/>
      <c r="D45" s="26"/>
      <c r="E45" s="26"/>
      <c r="F45" s="22"/>
    </row>
    <row r="46" spans="1:13" ht="27" customHeight="1" x14ac:dyDescent="0.25">
      <c r="A46" s="22"/>
      <c r="B46" s="22"/>
      <c r="C46" s="26"/>
      <c r="D46" s="26"/>
      <c r="E46" s="26"/>
      <c r="F46" s="22"/>
    </row>
    <row r="47" spans="1:13" ht="33" customHeight="1" thickBot="1" x14ac:dyDescent="0.3">
      <c r="A47" s="22"/>
      <c r="B47" s="22"/>
      <c r="C47" s="22"/>
      <c r="D47" s="22"/>
      <c r="E47" s="22"/>
      <c r="F47" s="22"/>
    </row>
    <row r="48" spans="1:13" ht="80" customHeight="1" x14ac:dyDescent="0.25">
      <c r="A48" s="22"/>
      <c r="B48" s="154"/>
      <c r="C48" s="155"/>
      <c r="D48" s="155"/>
      <c r="E48" s="156"/>
      <c r="F48" s="22"/>
    </row>
    <row r="49" spans="1:13" ht="33.75" customHeight="1" x14ac:dyDescent="0.25">
      <c r="A49" s="22"/>
      <c r="B49" s="63" t="s">
        <v>18</v>
      </c>
      <c r="C49" s="164" t="str">
        <f>TRIM(INVOICE!$G$1)</f>
        <v>INAE1352/26</v>
      </c>
      <c r="D49" s="165"/>
      <c r="E49" s="166"/>
      <c r="F49" s="22"/>
    </row>
    <row r="50" spans="1:13" ht="13.5" customHeight="1" thickBot="1" x14ac:dyDescent="0.3">
      <c r="A50" s="22"/>
      <c r="B50" s="64"/>
      <c r="C50" s="65"/>
      <c r="D50" s="65"/>
      <c r="E50" s="66"/>
      <c r="F50" s="22"/>
    </row>
    <row r="51" spans="1:13" ht="54" customHeight="1" x14ac:dyDescent="0.25">
      <c r="A51" s="22"/>
      <c r="B51" s="77" t="s">
        <v>19</v>
      </c>
      <c r="C51" s="160" t="str">
        <f>TRIM(INVOICE!$B$3)</f>
        <v>Nina Matalasova
Valeriia Polozova</v>
      </c>
      <c r="D51" s="161"/>
      <c r="E51" s="162"/>
      <c r="F51" s="22"/>
    </row>
    <row r="52" spans="1:13" ht="39.75" customHeight="1" x14ac:dyDescent="0.25">
      <c r="A52" s="22"/>
      <c r="B52" s="77" t="s">
        <v>11</v>
      </c>
      <c r="C52" s="163" t="str">
        <f>TRIM(INVOICE!E9)</f>
        <v>Manaus</v>
      </c>
      <c r="D52" s="142"/>
      <c r="E52" s="137"/>
      <c r="F52" s="22"/>
    </row>
    <row r="53" spans="1:13" ht="39.75" customHeight="1" x14ac:dyDescent="0.25">
      <c r="A53" s="22"/>
      <c r="B53" s="77" t="s">
        <v>20</v>
      </c>
      <c r="C53" s="163" t="str">
        <f>TRIM(INVOICE!B9)</f>
        <v>Evolucao Ecolodge</v>
      </c>
      <c r="D53" s="142"/>
      <c r="E53" s="137"/>
      <c r="F53" s="22"/>
    </row>
    <row r="54" spans="1:13" ht="39.75" customHeight="1" x14ac:dyDescent="0.25">
      <c r="A54" s="22"/>
      <c r="B54" s="77" t="s">
        <v>21</v>
      </c>
      <c r="C54" s="67" t="str">
        <f>TRIM(INVOICE!C9)</f>
        <v>SGL Cahlet</v>
      </c>
      <c r="D54" s="68" t="s">
        <v>22</v>
      </c>
      <c r="E54" s="69" t="str">
        <f>TRIM(INVOICE!G9)</f>
        <v>2</v>
      </c>
      <c r="F54" s="22"/>
    </row>
    <row r="55" spans="1:13" ht="39.75" customHeight="1" x14ac:dyDescent="0.25">
      <c r="A55" s="22"/>
      <c r="B55" s="77" t="s">
        <v>10</v>
      </c>
      <c r="C55" s="163" t="str">
        <f>TRIM(INVOICE!D9)</f>
        <v>Full board</v>
      </c>
      <c r="D55" s="142"/>
      <c r="E55" s="137"/>
      <c r="F55" s="22"/>
    </row>
    <row r="56" spans="1:13" ht="39.75" customHeight="1" x14ac:dyDescent="0.25">
      <c r="A56" s="22"/>
      <c r="B56" s="77" t="s">
        <v>23</v>
      </c>
      <c r="C56" s="163" t="str">
        <f>TRIM(INVOICE!A9)</f>
        <v>Check In: 08.05.2026 
Check Out: 10.05.2026</v>
      </c>
      <c r="D56" s="142"/>
      <c r="E56" s="137"/>
      <c r="F56" s="22"/>
    </row>
    <row r="57" spans="1:13" ht="39.75" customHeight="1" x14ac:dyDescent="0.25">
      <c r="A57" s="22"/>
      <c r="B57" s="77" t="s">
        <v>24</v>
      </c>
      <c r="C57" s="163"/>
      <c r="D57" s="142"/>
      <c r="E57" s="137"/>
      <c r="F57" s="22"/>
    </row>
    <row r="58" spans="1:13" ht="39.75" customHeight="1" thickBot="1" x14ac:dyDescent="0.3">
      <c r="A58" s="22"/>
      <c r="B58" s="78" t="s">
        <v>25</v>
      </c>
      <c r="C58" s="151"/>
      <c r="D58" s="152"/>
      <c r="E58" s="153"/>
      <c r="F58" s="22"/>
    </row>
    <row r="59" spans="1:13" ht="51" customHeight="1" x14ac:dyDescent="0.25">
      <c r="A59" s="22"/>
      <c r="B59" s="167"/>
      <c r="C59" s="168"/>
      <c r="D59" s="25"/>
      <c r="E59" s="25"/>
      <c r="F59" s="23"/>
      <c r="G59" s="24"/>
      <c r="H59" s="24"/>
      <c r="I59" s="24"/>
      <c r="J59" s="24"/>
      <c r="K59" s="24"/>
      <c r="L59" s="24"/>
      <c r="M59" s="24"/>
    </row>
    <row r="60" spans="1:13" ht="45.75" customHeight="1" x14ac:dyDescent="0.25">
      <c r="A60" s="22"/>
      <c r="B60" s="169"/>
      <c r="C60" s="170"/>
      <c r="D60" s="25"/>
      <c r="E60" s="25"/>
      <c r="F60" s="23"/>
      <c r="G60" s="24"/>
      <c r="H60" s="24"/>
      <c r="I60" s="24"/>
      <c r="J60" s="24"/>
      <c r="K60" s="24"/>
      <c r="L60" s="24"/>
      <c r="M60" s="24"/>
    </row>
    <row r="61" spans="1:13" ht="53.25" customHeight="1" x14ac:dyDescent="0.25">
      <c r="A61" s="22"/>
      <c r="B61" s="171"/>
      <c r="C61" s="172"/>
      <c r="D61" s="25"/>
      <c r="E61" s="25"/>
      <c r="F61" s="22"/>
    </row>
    <row r="62" spans="1:13" ht="53.25" customHeight="1" thickBot="1" x14ac:dyDescent="0.3">
      <c r="A62" s="22"/>
      <c r="B62" s="25"/>
      <c r="C62" s="25"/>
      <c r="D62" s="25"/>
      <c r="E62" s="25"/>
      <c r="F62" s="22"/>
    </row>
    <row r="63" spans="1:13" ht="80" customHeight="1" x14ac:dyDescent="0.25">
      <c r="A63" s="22"/>
      <c r="B63" s="154"/>
      <c r="C63" s="155"/>
      <c r="D63" s="155"/>
      <c r="E63" s="156"/>
      <c r="F63" s="22"/>
    </row>
    <row r="64" spans="1:13" ht="33.75" customHeight="1" x14ac:dyDescent="0.25">
      <c r="A64" s="22"/>
      <c r="B64" s="63" t="s">
        <v>18</v>
      </c>
      <c r="C64" s="164" t="str">
        <f>TRIM(INVOICE!$G$1)</f>
        <v>INAE1352/26</v>
      </c>
      <c r="D64" s="165"/>
      <c r="E64" s="166"/>
      <c r="F64" s="22"/>
    </row>
    <row r="65" spans="1:13" ht="13.5" customHeight="1" thickBot="1" x14ac:dyDescent="0.3">
      <c r="A65" s="22"/>
      <c r="B65" s="64"/>
      <c r="C65" s="65"/>
      <c r="D65" s="65"/>
      <c r="E65" s="66"/>
      <c r="F65" s="22"/>
    </row>
    <row r="66" spans="1:13" ht="54" customHeight="1" x14ac:dyDescent="0.25">
      <c r="A66" s="22"/>
      <c r="B66" s="77" t="s">
        <v>19</v>
      </c>
      <c r="C66" s="160" t="str">
        <f>TRIM(INVOICE!$B$3)</f>
        <v>Nina Matalasova
Valeriia Polozova</v>
      </c>
      <c r="D66" s="161"/>
      <c r="E66" s="162"/>
      <c r="F66" s="22"/>
    </row>
    <row r="67" spans="1:13" ht="39.75" customHeight="1" x14ac:dyDescent="0.25">
      <c r="A67" s="22"/>
      <c r="B67" s="77" t="s">
        <v>11</v>
      </c>
      <c r="C67" s="163" t="str">
        <f>TRIM(INVOICE!E9)</f>
        <v>Manaus</v>
      </c>
      <c r="D67" s="142"/>
      <c r="E67" s="137"/>
      <c r="F67" s="22"/>
    </row>
    <row r="68" spans="1:13" ht="39.75" customHeight="1" x14ac:dyDescent="0.25">
      <c r="A68" s="22"/>
      <c r="B68" s="77" t="s">
        <v>20</v>
      </c>
      <c r="C68" s="163" t="str">
        <f>TRIM(INVOICE!B9)</f>
        <v>Evolucao Ecolodge</v>
      </c>
      <c r="D68" s="142"/>
      <c r="E68" s="137"/>
      <c r="F68" s="22"/>
    </row>
    <row r="69" spans="1:13" ht="39.75" customHeight="1" x14ac:dyDescent="0.25">
      <c r="A69" s="22"/>
      <c r="B69" s="77" t="s">
        <v>21</v>
      </c>
      <c r="C69" s="67" t="str">
        <f>TRIM(INVOICE!C9)</f>
        <v>SGL Cahlet</v>
      </c>
      <c r="D69" s="68" t="s">
        <v>22</v>
      </c>
      <c r="E69" s="69" t="str">
        <f>TRIM(INVOICE!G9)</f>
        <v>2</v>
      </c>
      <c r="F69" s="22"/>
    </row>
    <row r="70" spans="1:13" ht="39.75" customHeight="1" x14ac:dyDescent="0.25">
      <c r="A70" s="22"/>
      <c r="B70" s="77" t="s">
        <v>10</v>
      </c>
      <c r="C70" s="163" t="str">
        <f>TRIM(INVOICE!D9)</f>
        <v>Full board</v>
      </c>
      <c r="D70" s="142"/>
      <c r="E70" s="137"/>
      <c r="F70" s="22"/>
    </row>
    <row r="71" spans="1:13" ht="39.75" customHeight="1" x14ac:dyDescent="0.25">
      <c r="A71" s="22"/>
      <c r="B71" s="77" t="s">
        <v>23</v>
      </c>
      <c r="C71" s="163" t="str">
        <f>TRIM(INVOICE!A9)</f>
        <v>Check In: 08.05.2026 
Check Out: 10.05.2026</v>
      </c>
      <c r="D71" s="142"/>
      <c r="E71" s="137"/>
      <c r="F71" s="22"/>
    </row>
    <row r="72" spans="1:13" ht="39.75" customHeight="1" x14ac:dyDescent="0.25">
      <c r="A72" s="22"/>
      <c r="B72" s="77" t="s">
        <v>24</v>
      </c>
      <c r="C72" s="163"/>
      <c r="D72" s="142"/>
      <c r="E72" s="137"/>
      <c r="F72" s="22"/>
    </row>
    <row r="73" spans="1:13" ht="39.75" customHeight="1" thickBot="1" x14ac:dyDescent="0.3">
      <c r="A73" s="22"/>
      <c r="B73" s="78" t="s">
        <v>25</v>
      </c>
      <c r="C73" s="151"/>
      <c r="D73" s="152"/>
      <c r="E73" s="153"/>
      <c r="F73" s="22"/>
    </row>
    <row r="74" spans="1:13" ht="99.75" customHeight="1" x14ac:dyDescent="0.25">
      <c r="A74" s="22"/>
      <c r="B74" s="167"/>
      <c r="C74" s="168"/>
      <c r="D74" s="25"/>
      <c r="E74" s="25"/>
      <c r="F74" s="22"/>
    </row>
    <row r="75" spans="1:13" ht="99.75" customHeight="1" x14ac:dyDescent="0.25">
      <c r="A75" s="22"/>
      <c r="B75" s="171"/>
      <c r="C75" s="172"/>
      <c r="D75" s="25"/>
      <c r="E75" s="25"/>
      <c r="F75" s="22"/>
    </row>
    <row r="76" spans="1:13" ht="33" customHeight="1" x14ac:dyDescent="0.25">
      <c r="A76" s="22"/>
      <c r="B76" s="22"/>
      <c r="C76" s="22"/>
      <c r="D76" s="22"/>
      <c r="E76" s="22"/>
      <c r="F76" s="22"/>
    </row>
    <row r="77" spans="1:13" ht="33" customHeight="1" thickBot="1" x14ac:dyDescent="0.3">
      <c r="A77" s="22"/>
      <c r="B77" s="22"/>
      <c r="C77" s="22"/>
      <c r="D77" s="22"/>
      <c r="E77" s="22"/>
      <c r="F77" s="22"/>
    </row>
    <row r="78" spans="1:13" ht="80" customHeight="1" x14ac:dyDescent="0.25">
      <c r="A78" s="22"/>
      <c r="B78" s="154"/>
      <c r="C78" s="155"/>
      <c r="D78" s="155"/>
      <c r="E78" s="156"/>
      <c r="F78" s="23"/>
      <c r="G78" s="24"/>
      <c r="H78" s="24"/>
      <c r="I78" s="24"/>
      <c r="J78" s="24"/>
      <c r="K78" s="24"/>
      <c r="L78" s="24"/>
      <c r="M78" s="24"/>
    </row>
    <row r="79" spans="1:13" ht="33.75" customHeight="1" x14ac:dyDescent="0.25">
      <c r="A79" s="22"/>
      <c r="B79" s="63" t="s">
        <v>18</v>
      </c>
      <c r="C79" s="164" t="str">
        <f>TRIM(INVOICE!$G$1)</f>
        <v>INAE1352/26</v>
      </c>
      <c r="D79" s="165"/>
      <c r="E79" s="166"/>
      <c r="F79" s="22"/>
    </row>
    <row r="80" spans="1:13" ht="13.5" customHeight="1" thickBot="1" x14ac:dyDescent="0.3">
      <c r="A80" s="22"/>
      <c r="B80" s="64"/>
      <c r="C80" s="65"/>
      <c r="D80" s="65"/>
      <c r="E80" s="66"/>
      <c r="F80" s="22"/>
    </row>
    <row r="81" spans="1:6" ht="54" customHeight="1" x14ac:dyDescent="0.25">
      <c r="A81" s="22"/>
      <c r="B81" s="77" t="s">
        <v>19</v>
      </c>
      <c r="C81" s="160" t="str">
        <f>TRIM(INVOICE!$B$3)</f>
        <v>Nina Matalasova
Valeriia Polozova</v>
      </c>
      <c r="D81" s="161"/>
      <c r="E81" s="162"/>
      <c r="F81" s="22"/>
    </row>
    <row r="82" spans="1:6" ht="39.75" customHeight="1" x14ac:dyDescent="0.25">
      <c r="A82" s="22"/>
      <c r="B82" s="77" t="s">
        <v>11</v>
      </c>
      <c r="C82" s="163" t="str">
        <f>TRIM(INVOICE!E9)</f>
        <v>Manaus</v>
      </c>
      <c r="D82" s="142"/>
      <c r="E82" s="137"/>
      <c r="F82" s="22"/>
    </row>
    <row r="83" spans="1:6" ht="39.75" customHeight="1" x14ac:dyDescent="0.25">
      <c r="A83" s="22"/>
      <c r="B83" s="77" t="s">
        <v>20</v>
      </c>
      <c r="C83" s="163" t="str">
        <f>TRIM(INVOICE!B9)</f>
        <v>Evolucao Ecolodge</v>
      </c>
      <c r="D83" s="142"/>
      <c r="E83" s="137"/>
      <c r="F83" s="22"/>
    </row>
    <row r="84" spans="1:6" ht="39.75" customHeight="1" x14ac:dyDescent="0.25">
      <c r="A84" s="22"/>
      <c r="B84" s="77" t="s">
        <v>21</v>
      </c>
      <c r="C84" s="67" t="str">
        <f>TRIM(INVOICE!C9)</f>
        <v>SGL Cahlet</v>
      </c>
      <c r="D84" s="68" t="s">
        <v>22</v>
      </c>
      <c r="E84" s="69" t="str">
        <f>TRIM(INVOICE!G9)</f>
        <v>2</v>
      </c>
      <c r="F84" s="22"/>
    </row>
    <row r="85" spans="1:6" ht="39.75" customHeight="1" x14ac:dyDescent="0.25">
      <c r="A85" s="22"/>
      <c r="B85" s="77" t="s">
        <v>10</v>
      </c>
      <c r="C85" s="163" t="str">
        <f>TRIM(INVOICE!D9)</f>
        <v>Full board</v>
      </c>
      <c r="D85" s="142"/>
      <c r="E85" s="137"/>
      <c r="F85" s="22"/>
    </row>
    <row r="86" spans="1:6" ht="39.75" customHeight="1" x14ac:dyDescent="0.25">
      <c r="A86" s="22"/>
      <c r="B86" s="77" t="s">
        <v>23</v>
      </c>
      <c r="C86" s="163" t="str">
        <f>TRIM(INVOICE!A9)</f>
        <v>Check In: 08.05.2026 
Check Out: 10.05.2026</v>
      </c>
      <c r="D86" s="142"/>
      <c r="E86" s="137"/>
      <c r="F86" s="22"/>
    </row>
    <row r="87" spans="1:6" ht="39.75" customHeight="1" x14ac:dyDescent="0.25">
      <c r="A87" s="22"/>
      <c r="B87" s="77" t="s">
        <v>24</v>
      </c>
      <c r="C87" s="163"/>
      <c r="D87" s="142"/>
      <c r="E87" s="137"/>
      <c r="F87" s="22"/>
    </row>
    <row r="88" spans="1:6" ht="39.75" customHeight="1" thickBot="1" x14ac:dyDescent="0.3">
      <c r="A88" s="22"/>
      <c r="B88" s="78" t="s">
        <v>25</v>
      </c>
      <c r="C88" s="151"/>
      <c r="D88" s="152"/>
      <c r="E88" s="153"/>
      <c r="F88" s="22"/>
    </row>
    <row r="89" spans="1:6" ht="99.75" customHeight="1" x14ac:dyDescent="0.25">
      <c r="A89" s="22"/>
      <c r="B89" s="167"/>
      <c r="C89" s="168"/>
      <c r="D89" s="25"/>
      <c r="E89" s="25"/>
      <c r="F89" s="22"/>
    </row>
    <row r="90" spans="1:6" ht="47.25" customHeight="1" x14ac:dyDescent="0.25">
      <c r="A90" s="22"/>
      <c r="B90" s="171"/>
      <c r="C90" s="172"/>
      <c r="D90" s="25"/>
      <c r="E90" s="25"/>
      <c r="F90" s="22"/>
    </row>
    <row r="91" spans="1:6" ht="33" customHeight="1" x14ac:dyDescent="0.25">
      <c r="A91" s="22"/>
      <c r="B91" s="22"/>
      <c r="C91" s="22"/>
      <c r="D91" s="22"/>
      <c r="E91" s="22"/>
      <c r="F91" s="22"/>
    </row>
    <row r="92" spans="1:6" ht="33" customHeight="1" thickBot="1" x14ac:dyDescent="0.3">
      <c r="A92" s="22"/>
      <c r="B92" s="22"/>
      <c r="C92" s="22"/>
      <c r="D92" s="22"/>
      <c r="E92" s="22"/>
      <c r="F92" s="22"/>
    </row>
    <row r="93" spans="1:6" ht="80" customHeight="1" x14ac:dyDescent="0.25">
      <c r="A93" s="22"/>
      <c r="B93" s="154"/>
      <c r="C93" s="155"/>
      <c r="D93" s="155"/>
      <c r="E93" s="156"/>
      <c r="F93" s="22"/>
    </row>
    <row r="94" spans="1:6" ht="33.75" customHeight="1" x14ac:dyDescent="0.25">
      <c r="A94" s="22"/>
      <c r="B94" s="63" t="s">
        <v>18</v>
      </c>
      <c r="C94" s="164" t="str">
        <f>TRIM(INVOICE!$G$1)</f>
        <v>INAE1352/26</v>
      </c>
      <c r="D94" s="165"/>
      <c r="E94" s="166"/>
      <c r="F94" s="22"/>
    </row>
    <row r="95" spans="1:6" ht="13.5" customHeight="1" thickBot="1" x14ac:dyDescent="0.3">
      <c r="A95" s="22"/>
      <c r="B95" s="64"/>
      <c r="C95" s="65"/>
      <c r="D95" s="65"/>
      <c r="E95" s="66"/>
      <c r="F95" s="22"/>
    </row>
    <row r="96" spans="1:6" ht="54" customHeight="1" x14ac:dyDescent="0.25">
      <c r="A96" s="22"/>
      <c r="B96" s="77" t="s">
        <v>19</v>
      </c>
      <c r="C96" s="160" t="str">
        <f>TRIM(INVOICE!$B$3)</f>
        <v>Nina Matalasova
Valeriia Polozova</v>
      </c>
      <c r="D96" s="161"/>
      <c r="E96" s="162"/>
      <c r="F96" s="22"/>
    </row>
    <row r="97" spans="1:6" ht="39.75" customHeight="1" x14ac:dyDescent="0.25">
      <c r="A97" s="22"/>
      <c r="B97" s="77" t="s">
        <v>11</v>
      </c>
      <c r="C97" s="163" t="str">
        <f>TRIM(INVOICE!E9)</f>
        <v>Manaus</v>
      </c>
      <c r="D97" s="142"/>
      <c r="E97" s="137"/>
      <c r="F97" s="22"/>
    </row>
    <row r="98" spans="1:6" ht="39.75" customHeight="1" x14ac:dyDescent="0.25">
      <c r="A98" s="22"/>
      <c r="B98" s="77" t="s">
        <v>20</v>
      </c>
      <c r="C98" s="163" t="str">
        <f>TRIM(INVOICE!B9)</f>
        <v>Evolucao Ecolodge</v>
      </c>
      <c r="D98" s="142"/>
      <c r="E98" s="137"/>
      <c r="F98" s="22"/>
    </row>
    <row r="99" spans="1:6" ht="39.75" customHeight="1" x14ac:dyDescent="0.25">
      <c r="A99" s="22"/>
      <c r="B99" s="77" t="s">
        <v>21</v>
      </c>
      <c r="C99" s="67" t="str">
        <f>TRIM(INVOICE!C9)</f>
        <v>SGL Cahlet</v>
      </c>
      <c r="D99" s="68" t="s">
        <v>22</v>
      </c>
      <c r="E99" s="69" t="str">
        <f>TRIM(INVOICE!G9)</f>
        <v>2</v>
      </c>
      <c r="F99" s="22"/>
    </row>
    <row r="100" spans="1:6" ht="39.75" customHeight="1" x14ac:dyDescent="0.25">
      <c r="A100" s="22"/>
      <c r="B100" s="77" t="s">
        <v>10</v>
      </c>
      <c r="C100" s="163" t="str">
        <f>TRIM(INVOICE!D9)</f>
        <v>Full board</v>
      </c>
      <c r="D100" s="142"/>
      <c r="E100" s="137"/>
      <c r="F100" s="22"/>
    </row>
    <row r="101" spans="1:6" ht="39.75" customHeight="1" x14ac:dyDescent="0.25">
      <c r="A101" s="22"/>
      <c r="B101" s="77" t="s">
        <v>23</v>
      </c>
      <c r="C101" s="163" t="str">
        <f>TRIM(INVOICE!A9)</f>
        <v>Check In: 08.05.2026 
Check Out: 10.05.2026</v>
      </c>
      <c r="D101" s="142"/>
      <c r="E101" s="137"/>
      <c r="F101" s="22"/>
    </row>
    <row r="102" spans="1:6" ht="39.75" customHeight="1" x14ac:dyDescent="0.25">
      <c r="A102" s="22"/>
      <c r="B102" s="77" t="s">
        <v>24</v>
      </c>
      <c r="C102" s="163"/>
      <c r="D102" s="142"/>
      <c r="E102" s="137"/>
      <c r="F102" s="22"/>
    </row>
    <row r="103" spans="1:6" ht="39.75" customHeight="1" thickBot="1" x14ac:dyDescent="0.3">
      <c r="A103" s="22"/>
      <c r="B103" s="78" t="s">
        <v>25</v>
      </c>
      <c r="C103" s="151"/>
      <c r="D103" s="152"/>
      <c r="E103" s="153"/>
      <c r="F103" s="22"/>
    </row>
    <row r="104" spans="1:6" ht="99.75" customHeight="1" x14ac:dyDescent="0.25">
      <c r="A104" s="22"/>
      <c r="B104" s="167"/>
      <c r="C104" s="168"/>
      <c r="D104" s="25"/>
      <c r="E104" s="25"/>
      <c r="F104" s="22"/>
    </row>
    <row r="105" spans="1:6" ht="52.5" customHeight="1" x14ac:dyDescent="0.25">
      <c r="A105" s="22"/>
      <c r="B105" s="171"/>
      <c r="C105" s="172"/>
      <c r="D105" s="25"/>
      <c r="E105" s="25"/>
      <c r="F105" s="22"/>
    </row>
    <row r="106" spans="1:6" ht="33" customHeight="1" x14ac:dyDescent="0.25">
      <c r="A106" s="22"/>
      <c r="B106" s="22"/>
      <c r="C106" s="22"/>
      <c r="D106" s="22"/>
      <c r="E106" s="22"/>
      <c r="F106" s="22"/>
    </row>
    <row r="107" spans="1:6" ht="33" customHeight="1" thickBot="1" x14ac:dyDescent="0.3">
      <c r="A107" s="22"/>
      <c r="B107" s="22"/>
      <c r="C107" s="22"/>
      <c r="D107" s="22"/>
      <c r="E107" s="22"/>
      <c r="F107" s="22"/>
    </row>
    <row r="108" spans="1:6" ht="80" customHeight="1" x14ac:dyDescent="0.25">
      <c r="A108" s="22"/>
      <c r="B108" s="154"/>
      <c r="C108" s="155"/>
      <c r="D108" s="155"/>
      <c r="E108" s="156"/>
      <c r="F108" s="22"/>
    </row>
    <row r="109" spans="1:6" ht="33.75" customHeight="1" x14ac:dyDescent="0.25">
      <c r="A109" s="22"/>
      <c r="B109" s="63" t="s">
        <v>18</v>
      </c>
      <c r="C109" s="164" t="str">
        <f>TRIM(INVOICE!$G$1)</f>
        <v>INAE1352/26</v>
      </c>
      <c r="D109" s="165"/>
      <c r="E109" s="166"/>
      <c r="F109" s="22"/>
    </row>
    <row r="110" spans="1:6" ht="13.5" customHeight="1" thickBot="1" x14ac:dyDescent="0.3">
      <c r="A110" s="22"/>
      <c r="B110" s="64"/>
      <c r="C110" s="65"/>
      <c r="D110" s="65"/>
      <c r="E110" s="66"/>
      <c r="F110" s="22"/>
    </row>
    <row r="111" spans="1:6" ht="54" customHeight="1" x14ac:dyDescent="0.25">
      <c r="A111" s="22"/>
      <c r="B111" s="77" t="s">
        <v>19</v>
      </c>
      <c r="C111" s="160" t="str">
        <f>TRIM(INVOICE!$B$3)</f>
        <v>Nina Matalasova
Valeriia Polozova</v>
      </c>
      <c r="D111" s="161"/>
      <c r="E111" s="162"/>
      <c r="F111" s="22"/>
    </row>
    <row r="112" spans="1:6" ht="39.75" customHeight="1" x14ac:dyDescent="0.25">
      <c r="A112" s="22"/>
      <c r="B112" s="77" t="s">
        <v>11</v>
      </c>
      <c r="C112" s="163" t="str">
        <f>TRIM(INVOICE!E9)</f>
        <v>Manaus</v>
      </c>
      <c r="D112" s="142"/>
      <c r="E112" s="137"/>
      <c r="F112" s="22"/>
    </row>
    <row r="113" spans="1:13" ht="39.75" customHeight="1" x14ac:dyDescent="0.25">
      <c r="A113" s="22"/>
      <c r="B113" s="77" t="s">
        <v>20</v>
      </c>
      <c r="C113" s="163" t="str">
        <f>TRIM(INVOICE!B9)</f>
        <v>Evolucao Ecolodge</v>
      </c>
      <c r="D113" s="142"/>
      <c r="E113" s="137"/>
      <c r="F113" s="22"/>
    </row>
    <row r="114" spans="1:13" ht="39.75" customHeight="1" x14ac:dyDescent="0.25">
      <c r="A114" s="22"/>
      <c r="B114" s="77" t="s">
        <v>21</v>
      </c>
      <c r="C114" s="67" t="str">
        <f>TRIM(INVOICE!C9)</f>
        <v>SGL Cahlet</v>
      </c>
      <c r="D114" s="68" t="s">
        <v>22</v>
      </c>
      <c r="E114" s="69" t="str">
        <f>TRIM(INVOICE!G9)</f>
        <v>2</v>
      </c>
      <c r="F114" s="23"/>
      <c r="G114" s="24"/>
      <c r="H114" s="24"/>
      <c r="I114" s="24"/>
      <c r="J114" s="24"/>
      <c r="K114" s="24"/>
      <c r="L114" s="24"/>
      <c r="M114" s="24"/>
    </row>
    <row r="115" spans="1:13" ht="39.75" customHeight="1" x14ac:dyDescent="0.25">
      <c r="A115" s="22"/>
      <c r="B115" s="77" t="s">
        <v>10</v>
      </c>
      <c r="C115" s="163" t="str">
        <f>TRIM(INVOICE!D9)</f>
        <v>Full board</v>
      </c>
      <c r="D115" s="142"/>
      <c r="E115" s="137"/>
      <c r="F115" s="22"/>
    </row>
    <row r="116" spans="1:13" ht="39.75" customHeight="1" x14ac:dyDescent="0.25">
      <c r="A116" s="22"/>
      <c r="B116" s="77" t="s">
        <v>23</v>
      </c>
      <c r="C116" s="163" t="str">
        <f>TRIM(INVOICE!A9)</f>
        <v>Check In: 08.05.2026 
Check Out: 10.05.2026</v>
      </c>
      <c r="D116" s="142"/>
      <c r="E116" s="137"/>
      <c r="F116" s="22"/>
    </row>
    <row r="117" spans="1:13" ht="39.75" customHeight="1" x14ac:dyDescent="0.25">
      <c r="A117" s="22"/>
      <c r="B117" s="77" t="s">
        <v>24</v>
      </c>
      <c r="C117" s="163"/>
      <c r="D117" s="142"/>
      <c r="E117" s="137"/>
      <c r="F117" s="22"/>
    </row>
    <row r="118" spans="1:13" ht="39.75" customHeight="1" thickBot="1" x14ac:dyDescent="0.3">
      <c r="A118" s="22"/>
      <c r="B118" s="78" t="s">
        <v>25</v>
      </c>
      <c r="C118" s="151"/>
      <c r="D118" s="152"/>
      <c r="E118" s="153"/>
      <c r="F118" s="22"/>
    </row>
    <row r="119" spans="1:13" ht="68.25" customHeight="1" x14ac:dyDescent="0.25">
      <c r="A119" s="22"/>
      <c r="B119" s="167"/>
      <c r="C119" s="168"/>
      <c r="D119" s="25"/>
      <c r="E119" s="25"/>
      <c r="F119" s="22"/>
    </row>
    <row r="120" spans="1:13" ht="68.25" customHeight="1" x14ac:dyDescent="0.25">
      <c r="A120" s="22"/>
      <c r="B120" s="169"/>
      <c r="C120" s="170"/>
      <c r="D120" s="25"/>
      <c r="E120" s="25"/>
      <c r="F120" s="22"/>
    </row>
    <row r="121" spans="1:13" ht="30.75" customHeight="1" x14ac:dyDescent="0.25">
      <c r="A121" s="22"/>
      <c r="B121" s="171"/>
      <c r="C121" s="172"/>
      <c r="D121" s="25"/>
      <c r="E121" s="25"/>
      <c r="F121" s="22"/>
    </row>
    <row r="122" spans="1:13" ht="33" customHeight="1" thickBot="1" x14ac:dyDescent="0.3">
      <c r="A122" s="22"/>
      <c r="B122" s="22"/>
      <c r="C122" s="22"/>
      <c r="D122" s="22"/>
      <c r="E122" s="22"/>
      <c r="F122" s="22"/>
    </row>
    <row r="123" spans="1:13" ht="80" customHeight="1" x14ac:dyDescent="0.25">
      <c r="A123" s="22"/>
      <c r="B123" s="154"/>
      <c r="C123" s="155"/>
      <c r="D123" s="155"/>
      <c r="E123" s="156"/>
      <c r="F123" s="22"/>
    </row>
    <row r="124" spans="1:13" ht="33.75" customHeight="1" x14ac:dyDescent="0.25">
      <c r="A124" s="22"/>
      <c r="B124" s="63" t="s">
        <v>18</v>
      </c>
      <c r="C124" s="164" t="str">
        <f>TRIM(INVOICE!$G$1)</f>
        <v>INAE1352/26</v>
      </c>
      <c r="D124" s="165"/>
      <c r="E124" s="166"/>
      <c r="F124" s="22"/>
    </row>
    <row r="125" spans="1:13" ht="13.5" customHeight="1" thickBot="1" x14ac:dyDescent="0.3">
      <c r="A125" s="22"/>
      <c r="B125" s="64"/>
      <c r="C125" s="65"/>
      <c r="D125" s="65"/>
      <c r="E125" s="66"/>
      <c r="F125" s="22"/>
    </row>
    <row r="126" spans="1:13" ht="54" customHeight="1" x14ac:dyDescent="0.25">
      <c r="A126" s="22"/>
      <c r="B126" s="77" t="s">
        <v>19</v>
      </c>
      <c r="C126" s="160" t="str">
        <f>TRIM(INVOICE!$B$3)</f>
        <v>Nina Matalasova
Valeriia Polozova</v>
      </c>
      <c r="D126" s="161"/>
      <c r="E126" s="162"/>
      <c r="F126" s="22"/>
    </row>
    <row r="127" spans="1:13" ht="39.75" customHeight="1" x14ac:dyDescent="0.25">
      <c r="A127" s="22"/>
      <c r="B127" s="77" t="s">
        <v>11</v>
      </c>
      <c r="C127" s="163" t="str">
        <f>TRIM(INVOICE!E9)</f>
        <v>Manaus</v>
      </c>
      <c r="D127" s="142"/>
      <c r="E127" s="137"/>
      <c r="F127" s="22"/>
    </row>
    <row r="128" spans="1:13" ht="39.75" customHeight="1" x14ac:dyDescent="0.25">
      <c r="A128" s="22"/>
      <c r="B128" s="77" t="s">
        <v>20</v>
      </c>
      <c r="C128" s="163" t="str">
        <f>TRIM(INVOICE!B9)</f>
        <v>Evolucao Ecolodge</v>
      </c>
      <c r="D128" s="142"/>
      <c r="E128" s="137"/>
      <c r="F128" s="22"/>
    </row>
    <row r="129" spans="1:13" ht="39.75" customHeight="1" x14ac:dyDescent="0.25">
      <c r="A129" s="22"/>
      <c r="B129" s="77" t="s">
        <v>21</v>
      </c>
      <c r="C129" s="67" t="str">
        <f>TRIM(INVOICE!C9)</f>
        <v>SGL Cahlet</v>
      </c>
      <c r="D129" s="68" t="s">
        <v>22</v>
      </c>
      <c r="E129" s="69" t="str">
        <f>TRIM(INVOICE!G9)</f>
        <v>2</v>
      </c>
      <c r="F129" s="22"/>
    </row>
    <row r="130" spans="1:13" ht="39.75" customHeight="1" x14ac:dyDescent="0.25">
      <c r="A130" s="22"/>
      <c r="B130" s="77" t="s">
        <v>10</v>
      </c>
      <c r="C130" s="163" t="str">
        <f>TRIM(INVOICE!D9)</f>
        <v>Full board</v>
      </c>
      <c r="D130" s="142"/>
      <c r="E130" s="137"/>
      <c r="F130" s="22"/>
    </row>
    <row r="131" spans="1:13" ht="39.75" customHeight="1" x14ac:dyDescent="0.25">
      <c r="A131" s="22"/>
      <c r="B131" s="77" t="s">
        <v>23</v>
      </c>
      <c r="C131" s="163" t="str">
        <f>TRIM(INVOICE!A9)</f>
        <v>Check In: 08.05.2026 
Check Out: 10.05.2026</v>
      </c>
      <c r="D131" s="142"/>
      <c r="E131" s="137"/>
      <c r="F131" s="22"/>
    </row>
    <row r="132" spans="1:13" ht="39.75" customHeight="1" x14ac:dyDescent="0.25">
      <c r="A132" s="22"/>
      <c r="B132" s="77" t="s">
        <v>24</v>
      </c>
      <c r="C132" s="163"/>
      <c r="D132" s="142"/>
      <c r="E132" s="137"/>
      <c r="F132" s="22"/>
    </row>
    <row r="133" spans="1:13" ht="39.75" customHeight="1" thickBot="1" x14ac:dyDescent="0.3">
      <c r="A133" s="22"/>
      <c r="B133" s="78" t="s">
        <v>25</v>
      </c>
      <c r="C133" s="151"/>
      <c r="D133" s="152"/>
      <c r="E133" s="153"/>
      <c r="F133" s="23"/>
      <c r="G133" s="24"/>
      <c r="H133" s="24"/>
      <c r="I133" s="24"/>
      <c r="J133" s="24"/>
      <c r="K133" s="24"/>
      <c r="L133" s="24"/>
      <c r="M133" s="24"/>
    </row>
    <row r="134" spans="1:13" ht="58.5" customHeight="1" x14ac:dyDescent="0.25">
      <c r="A134" s="22"/>
      <c r="B134" s="167"/>
      <c r="C134" s="168"/>
      <c r="D134" s="25"/>
      <c r="E134" s="25"/>
      <c r="F134" s="22"/>
    </row>
    <row r="135" spans="1:13" ht="58.5" customHeight="1" x14ac:dyDescent="0.25">
      <c r="A135" s="22"/>
      <c r="B135" s="171"/>
      <c r="C135" s="172"/>
      <c r="D135" s="25"/>
      <c r="E135" s="25"/>
      <c r="F135" s="22"/>
    </row>
    <row r="136" spans="1:13" ht="51" customHeight="1" x14ac:dyDescent="0.25">
      <c r="A136" s="22"/>
      <c r="B136" s="22"/>
      <c r="C136" s="26"/>
      <c r="D136" s="26"/>
      <c r="E136" s="26"/>
      <c r="F136" s="22"/>
    </row>
    <row r="137" spans="1:13" ht="33" customHeight="1" thickBot="1" x14ac:dyDescent="0.3">
      <c r="A137" s="22"/>
      <c r="B137" s="22"/>
      <c r="C137" s="22"/>
      <c r="D137" s="22"/>
      <c r="E137" s="22"/>
      <c r="F137" s="22"/>
    </row>
    <row r="138" spans="1:13" ht="80" customHeight="1" x14ac:dyDescent="0.25">
      <c r="A138" s="22"/>
      <c r="B138" s="154"/>
      <c r="C138" s="155"/>
      <c r="D138" s="155"/>
      <c r="E138" s="156"/>
      <c r="F138" s="22"/>
    </row>
    <row r="139" spans="1:13" ht="33.75" customHeight="1" x14ac:dyDescent="0.25">
      <c r="A139" s="22"/>
      <c r="B139" s="63" t="s">
        <v>18</v>
      </c>
      <c r="C139" s="164" t="str">
        <f>TRIM(INVOICE!$G$1)</f>
        <v>INAE1352/26</v>
      </c>
      <c r="D139" s="165"/>
      <c r="E139" s="166"/>
      <c r="F139" s="22"/>
    </row>
    <row r="140" spans="1:13" ht="13.5" customHeight="1" thickBot="1" x14ac:dyDescent="0.3">
      <c r="A140" s="22"/>
      <c r="B140" s="64"/>
      <c r="C140" s="65"/>
      <c r="D140" s="65"/>
      <c r="E140" s="66"/>
      <c r="F140" s="22"/>
    </row>
    <row r="141" spans="1:13" ht="54" customHeight="1" x14ac:dyDescent="0.25">
      <c r="A141" s="22"/>
      <c r="B141" s="77" t="s">
        <v>19</v>
      </c>
      <c r="C141" s="160" t="str">
        <f>TRIM(INVOICE!$B$3)</f>
        <v>Nina Matalasova
Valeriia Polozova</v>
      </c>
      <c r="D141" s="161"/>
      <c r="E141" s="162"/>
      <c r="F141" s="22"/>
    </row>
    <row r="142" spans="1:13" ht="39.75" customHeight="1" x14ac:dyDescent="0.25">
      <c r="A142" s="22"/>
      <c r="B142" s="77" t="s">
        <v>11</v>
      </c>
      <c r="C142" s="163" t="str">
        <f>TRIM(INVOICE!E9)</f>
        <v>Manaus</v>
      </c>
      <c r="D142" s="142"/>
      <c r="E142" s="137"/>
      <c r="F142" s="22"/>
    </row>
    <row r="143" spans="1:13" ht="39.75" customHeight="1" x14ac:dyDescent="0.25">
      <c r="A143" s="22"/>
      <c r="B143" s="77" t="s">
        <v>20</v>
      </c>
      <c r="C143" s="163" t="str">
        <f>TRIM(INVOICE!B9)</f>
        <v>Evolucao Ecolodge</v>
      </c>
      <c r="D143" s="142"/>
      <c r="E143" s="137"/>
      <c r="F143" s="22"/>
    </row>
    <row r="144" spans="1:13" ht="39.75" customHeight="1" x14ac:dyDescent="0.25">
      <c r="A144" s="22"/>
      <c r="B144" s="77" t="s">
        <v>21</v>
      </c>
      <c r="C144" s="67" t="str">
        <f>TRIM(INVOICE!C9)</f>
        <v>SGL Cahlet</v>
      </c>
      <c r="D144" s="68" t="s">
        <v>22</v>
      </c>
      <c r="E144" s="69" t="str">
        <f>TRIM(INVOICE!G9)</f>
        <v>2</v>
      </c>
      <c r="F144" s="22"/>
    </row>
    <row r="145" spans="1:6" ht="39.75" customHeight="1" x14ac:dyDescent="0.25">
      <c r="A145" s="22"/>
      <c r="B145" s="77" t="s">
        <v>10</v>
      </c>
      <c r="C145" s="163" t="str">
        <f>TRIM(INVOICE!D9)</f>
        <v>Full board</v>
      </c>
      <c r="D145" s="142"/>
      <c r="E145" s="137"/>
      <c r="F145" s="22"/>
    </row>
    <row r="146" spans="1:6" ht="39.75" customHeight="1" x14ac:dyDescent="0.25">
      <c r="A146" s="22"/>
      <c r="B146" s="77" t="s">
        <v>23</v>
      </c>
      <c r="C146" s="163" t="str">
        <f>TRIM(INVOICE!A9)</f>
        <v>Check In: 08.05.2026 
Check Out: 10.05.2026</v>
      </c>
      <c r="D146" s="142"/>
      <c r="E146" s="137"/>
      <c r="F146" s="22"/>
    </row>
    <row r="147" spans="1:6" ht="39.75" customHeight="1" x14ac:dyDescent="0.25">
      <c r="A147" s="22"/>
      <c r="B147" s="77" t="s">
        <v>24</v>
      </c>
      <c r="C147" s="173"/>
      <c r="D147" s="174"/>
      <c r="E147" s="175"/>
      <c r="F147" s="22"/>
    </row>
    <row r="148" spans="1:6" ht="39.75" customHeight="1" thickBot="1" x14ac:dyDescent="0.3">
      <c r="A148" s="22"/>
      <c r="B148" s="78" t="s">
        <v>25</v>
      </c>
      <c r="C148" s="176"/>
      <c r="D148" s="177"/>
      <c r="E148" s="178"/>
      <c r="F148" s="22"/>
    </row>
    <row r="149" spans="1:6" ht="99.75" customHeight="1" x14ac:dyDescent="0.25">
      <c r="A149" s="22"/>
      <c r="B149" s="167"/>
      <c r="C149" s="168"/>
      <c r="D149" s="25"/>
      <c r="E149" s="25"/>
      <c r="F149" s="22"/>
    </row>
    <row r="150" spans="1:6" ht="49.5" customHeight="1" x14ac:dyDescent="0.25">
      <c r="A150" s="22"/>
      <c r="B150" s="171"/>
      <c r="C150" s="172"/>
      <c r="D150" s="25"/>
      <c r="E150" s="25"/>
      <c r="F150" s="22"/>
    </row>
    <row r="151" spans="1:6" ht="33" customHeight="1" x14ac:dyDescent="0.25">
      <c r="A151" s="22"/>
      <c r="B151" s="22"/>
      <c r="C151" s="22"/>
      <c r="D151" s="22"/>
      <c r="E151" s="22"/>
      <c r="F151" s="22"/>
    </row>
    <row r="152" spans="1:6" ht="28.5" customHeight="1" thickBot="1" x14ac:dyDescent="0.3">
      <c r="A152" s="150"/>
      <c r="B152" s="150"/>
      <c r="C152" s="150"/>
      <c r="D152" s="25"/>
      <c r="E152" s="25"/>
      <c r="F152" s="22"/>
    </row>
    <row r="153" spans="1:6" ht="80" customHeight="1" x14ac:dyDescent="0.25">
      <c r="A153" s="25"/>
      <c r="B153" s="154"/>
      <c r="C153" s="155"/>
      <c r="D153" s="155"/>
      <c r="E153" s="156"/>
      <c r="F153" s="22"/>
    </row>
    <row r="154" spans="1:6" ht="33.75" customHeight="1" x14ac:dyDescent="0.25">
      <c r="A154" s="22"/>
      <c r="B154" s="63" t="s">
        <v>18</v>
      </c>
      <c r="C154" s="164" t="str">
        <f>TRIM(INVOICE!$G$1)</f>
        <v>INAE1352/26</v>
      </c>
      <c r="D154" s="165"/>
      <c r="E154" s="166"/>
      <c r="F154" s="22"/>
    </row>
    <row r="155" spans="1:6" ht="13.5" customHeight="1" thickBot="1" x14ac:dyDescent="0.3">
      <c r="A155" s="22"/>
      <c r="B155" s="64"/>
      <c r="C155" s="65"/>
      <c r="D155" s="65"/>
      <c r="E155" s="66"/>
      <c r="F155" s="22"/>
    </row>
    <row r="156" spans="1:6" ht="54" customHeight="1" x14ac:dyDescent="0.25">
      <c r="A156" s="22"/>
      <c r="B156" s="77" t="s">
        <v>19</v>
      </c>
      <c r="C156" s="160" t="str">
        <f>TRIM(INVOICE!$B$3)</f>
        <v>Nina Matalasova
Valeriia Polozova</v>
      </c>
      <c r="D156" s="161"/>
      <c r="E156" s="162"/>
      <c r="F156" s="22"/>
    </row>
    <row r="157" spans="1:6" ht="39.75" customHeight="1" x14ac:dyDescent="0.25">
      <c r="A157" s="22"/>
      <c r="B157" s="77" t="s">
        <v>11</v>
      </c>
      <c r="C157" s="163" t="str">
        <f>TRIM(INVOICE!E9)</f>
        <v>Manaus</v>
      </c>
      <c r="D157" s="142"/>
      <c r="E157" s="137"/>
      <c r="F157" s="22"/>
    </row>
    <row r="158" spans="1:6" ht="39.75" customHeight="1" x14ac:dyDescent="0.25">
      <c r="A158" s="22"/>
      <c r="B158" s="77" t="s">
        <v>20</v>
      </c>
      <c r="C158" s="163" t="str">
        <f>TRIM(INVOICE!B9)</f>
        <v>Evolucao Ecolodge</v>
      </c>
      <c r="D158" s="142"/>
      <c r="E158" s="137"/>
      <c r="F158" s="22"/>
    </row>
    <row r="159" spans="1:6" ht="39.75" customHeight="1" x14ac:dyDescent="0.25">
      <c r="A159" s="22"/>
      <c r="B159" s="77" t="s">
        <v>21</v>
      </c>
      <c r="C159" s="67" t="str">
        <f>TRIM(INVOICE!C9)</f>
        <v>SGL Cahlet</v>
      </c>
      <c r="D159" s="68" t="s">
        <v>22</v>
      </c>
      <c r="E159" s="69" t="str">
        <f>TRIM(INVOICE!G9)</f>
        <v>2</v>
      </c>
      <c r="F159" s="22"/>
    </row>
    <row r="160" spans="1:6" ht="39.75" customHeight="1" x14ac:dyDescent="0.25">
      <c r="A160" s="22"/>
      <c r="B160" s="77" t="s">
        <v>10</v>
      </c>
      <c r="C160" s="163" t="str">
        <f>TRIM(INVOICE!D9)</f>
        <v>Full board</v>
      </c>
      <c r="D160" s="142"/>
      <c r="E160" s="137"/>
      <c r="F160" s="22"/>
    </row>
    <row r="161" spans="1:6" ht="39.75" customHeight="1" x14ac:dyDescent="0.25">
      <c r="A161" s="22"/>
      <c r="B161" s="77" t="s">
        <v>23</v>
      </c>
      <c r="C161" s="163" t="str">
        <f>TRIM(INVOICE!A9)</f>
        <v>Check In: 08.05.2026 
Check Out: 10.05.2026</v>
      </c>
      <c r="D161" s="142"/>
      <c r="E161" s="137"/>
      <c r="F161" s="22"/>
    </row>
    <row r="162" spans="1:6" ht="39.75" customHeight="1" x14ac:dyDescent="0.25">
      <c r="A162" s="22"/>
      <c r="B162" s="77" t="s">
        <v>24</v>
      </c>
      <c r="C162" s="173"/>
      <c r="D162" s="174"/>
      <c r="E162" s="175"/>
      <c r="F162" s="22"/>
    </row>
    <row r="163" spans="1:6" ht="39.75" customHeight="1" thickBot="1" x14ac:dyDescent="0.3">
      <c r="A163" s="22"/>
      <c r="B163" s="78" t="s">
        <v>25</v>
      </c>
      <c r="C163" s="176"/>
      <c r="D163" s="177"/>
      <c r="E163" s="178"/>
      <c r="F163" s="22"/>
    </row>
    <row r="164" spans="1:6" ht="99.75" customHeight="1" x14ac:dyDescent="0.25">
      <c r="A164" s="22"/>
      <c r="B164" s="167"/>
      <c r="C164" s="168"/>
      <c r="D164" s="25"/>
      <c r="E164" s="25"/>
      <c r="F164" s="22"/>
    </row>
    <row r="165" spans="1:6" ht="33" customHeight="1" x14ac:dyDescent="0.25">
      <c r="A165" s="22"/>
      <c r="B165" s="171"/>
      <c r="C165" s="172"/>
      <c r="D165" s="25"/>
      <c r="E165" s="25"/>
      <c r="F165" s="22"/>
    </row>
    <row r="166" spans="1:6" ht="33" customHeight="1" x14ac:dyDescent="0.25">
      <c r="A166" s="150"/>
      <c r="B166" s="150"/>
      <c r="C166" s="150"/>
      <c r="D166" s="25"/>
      <c r="E166" s="25"/>
      <c r="F166" s="22"/>
    </row>
    <row r="167" spans="1:6" ht="52.5" customHeight="1" thickBot="1" x14ac:dyDescent="0.3">
      <c r="A167" s="150"/>
      <c r="B167" s="150"/>
      <c r="C167" s="150"/>
      <c r="D167" s="25"/>
      <c r="E167" s="25"/>
      <c r="F167" s="22"/>
    </row>
    <row r="168" spans="1:6" ht="80" customHeight="1" x14ac:dyDescent="0.25">
      <c r="A168" s="25"/>
      <c r="B168" s="154"/>
      <c r="C168" s="155"/>
      <c r="D168" s="155"/>
      <c r="E168" s="156"/>
      <c r="F168" s="22"/>
    </row>
    <row r="169" spans="1:6" ht="33.75" customHeight="1" x14ac:dyDescent="0.25">
      <c r="A169" s="22"/>
      <c r="B169" s="63" t="s">
        <v>18</v>
      </c>
      <c r="C169" s="164" t="str">
        <f>TRIM(INVOICE!$G$1)</f>
        <v>INAE1352/26</v>
      </c>
      <c r="D169" s="165"/>
      <c r="E169" s="166"/>
      <c r="F169" s="22"/>
    </row>
    <row r="170" spans="1:6" ht="13.5" customHeight="1" thickBot="1" x14ac:dyDescent="0.3">
      <c r="A170" s="22"/>
      <c r="B170" s="64"/>
      <c r="C170" s="65"/>
      <c r="D170" s="65"/>
      <c r="E170" s="66"/>
      <c r="F170" s="22"/>
    </row>
    <row r="171" spans="1:6" ht="54" customHeight="1" x14ac:dyDescent="0.25">
      <c r="A171" s="22"/>
      <c r="B171" s="77" t="s">
        <v>19</v>
      </c>
      <c r="C171" s="160" t="str">
        <f>TRIM(INVOICE!$B$3)</f>
        <v>Nina Matalasova
Valeriia Polozova</v>
      </c>
      <c r="D171" s="161"/>
      <c r="E171" s="162"/>
      <c r="F171" s="22"/>
    </row>
    <row r="172" spans="1:6" ht="39.75" customHeight="1" x14ac:dyDescent="0.25">
      <c r="A172" s="22"/>
      <c r="B172" s="77" t="s">
        <v>11</v>
      </c>
      <c r="C172" s="163" t="str">
        <f>TRIM(INVOICE!E9)</f>
        <v>Manaus</v>
      </c>
      <c r="D172" s="142"/>
      <c r="E172" s="137"/>
      <c r="F172" s="22"/>
    </row>
    <row r="173" spans="1:6" ht="39.75" customHeight="1" x14ac:dyDescent="0.25">
      <c r="A173" s="22"/>
      <c r="B173" s="77" t="s">
        <v>20</v>
      </c>
      <c r="C173" s="163" t="str">
        <f>TRIM(INVOICE!B9)</f>
        <v>Evolucao Ecolodge</v>
      </c>
      <c r="D173" s="142"/>
      <c r="E173" s="137"/>
      <c r="F173" s="22"/>
    </row>
    <row r="174" spans="1:6" ht="39.75" customHeight="1" x14ac:dyDescent="0.25">
      <c r="A174" s="22"/>
      <c r="B174" s="77" t="s">
        <v>21</v>
      </c>
      <c r="C174" s="67" t="str">
        <f>TRIM(INVOICE!C9)</f>
        <v>SGL Cahlet</v>
      </c>
      <c r="D174" s="68" t="s">
        <v>22</v>
      </c>
      <c r="E174" s="69" t="str">
        <f>TRIM(INVOICE!G9)</f>
        <v>2</v>
      </c>
      <c r="F174" s="22"/>
    </row>
    <row r="175" spans="1:6" ht="39.75" customHeight="1" x14ac:dyDescent="0.25">
      <c r="A175" s="22"/>
      <c r="B175" s="77" t="s">
        <v>10</v>
      </c>
      <c r="C175" s="163" t="str">
        <f>TRIM(INVOICE!D9)</f>
        <v>Full board</v>
      </c>
      <c r="D175" s="142"/>
      <c r="E175" s="137"/>
      <c r="F175" s="22"/>
    </row>
    <row r="176" spans="1:6" ht="39.75" customHeight="1" x14ac:dyDescent="0.25">
      <c r="A176" s="22"/>
      <c r="B176" s="77" t="s">
        <v>23</v>
      </c>
      <c r="C176" s="163" t="str">
        <f>TRIM(INVOICE!A9)</f>
        <v>Check In: 08.05.2026 
Check Out: 10.05.2026</v>
      </c>
      <c r="D176" s="142"/>
      <c r="E176" s="137"/>
      <c r="F176" s="22"/>
    </row>
    <row r="177" spans="1:6" ht="39.75" customHeight="1" x14ac:dyDescent="0.25">
      <c r="A177" s="22"/>
      <c r="B177" s="77" t="s">
        <v>24</v>
      </c>
      <c r="C177" s="173"/>
      <c r="D177" s="174"/>
      <c r="E177" s="175"/>
      <c r="F177" s="22"/>
    </row>
    <row r="178" spans="1:6" ht="39.75" customHeight="1" thickBot="1" x14ac:dyDescent="0.3">
      <c r="A178" s="22"/>
      <c r="B178" s="78" t="s">
        <v>25</v>
      </c>
      <c r="C178" s="176"/>
      <c r="D178" s="177"/>
      <c r="E178" s="178"/>
      <c r="F178" s="22"/>
    </row>
    <row r="179" spans="1:6" ht="99.75" customHeight="1" x14ac:dyDescent="0.25">
      <c r="A179" s="22"/>
      <c r="B179" s="167"/>
      <c r="C179" s="168"/>
      <c r="D179" s="25"/>
      <c r="E179" s="25"/>
      <c r="F179" s="22"/>
    </row>
    <row r="180" spans="1:6" ht="57" customHeight="1" x14ac:dyDescent="0.25">
      <c r="A180" s="22"/>
      <c r="B180" s="171"/>
      <c r="C180" s="172"/>
      <c r="D180" s="25"/>
      <c r="E180" s="25"/>
      <c r="F180" s="22"/>
    </row>
    <row r="181" spans="1:6" ht="33" customHeight="1" x14ac:dyDescent="0.25">
      <c r="A181" s="22"/>
      <c r="B181" s="22"/>
      <c r="C181" s="22"/>
      <c r="D181" s="22"/>
      <c r="E181" s="22"/>
      <c r="F181" s="22"/>
    </row>
    <row r="182" spans="1:6" ht="43.5" customHeight="1" thickBot="1" x14ac:dyDescent="0.3">
      <c r="A182" s="22"/>
      <c r="B182" s="22"/>
      <c r="C182" s="22"/>
      <c r="D182" s="22"/>
      <c r="E182" s="22"/>
      <c r="F182" s="22"/>
    </row>
    <row r="183" spans="1:6" ht="80" customHeight="1" x14ac:dyDescent="0.25">
      <c r="A183" s="22"/>
      <c r="B183" s="154"/>
      <c r="C183" s="155"/>
      <c r="D183" s="155"/>
      <c r="E183" s="156"/>
      <c r="F183" s="22"/>
    </row>
    <row r="184" spans="1:6" ht="33.75" customHeight="1" x14ac:dyDescent="0.25">
      <c r="A184" s="22"/>
      <c r="B184" s="63" t="s">
        <v>18</v>
      </c>
      <c r="C184" s="164" t="str">
        <f>TRIM(INVOICE!$G$1)</f>
        <v>INAE1352/26</v>
      </c>
      <c r="D184" s="165"/>
      <c r="E184" s="166"/>
      <c r="F184" s="22"/>
    </row>
    <row r="185" spans="1:6" ht="13.5" customHeight="1" thickBot="1" x14ac:dyDescent="0.3">
      <c r="A185" s="22"/>
      <c r="B185" s="64"/>
      <c r="C185" s="65"/>
      <c r="D185" s="65"/>
      <c r="E185" s="66"/>
      <c r="F185" s="22"/>
    </row>
    <row r="186" spans="1:6" ht="54" customHeight="1" x14ac:dyDescent="0.25">
      <c r="A186" s="22"/>
      <c r="B186" s="77" t="s">
        <v>19</v>
      </c>
      <c r="C186" s="160" t="str">
        <f>TRIM(INVOICE!$B$3)</f>
        <v>Nina Matalasova
Valeriia Polozova</v>
      </c>
      <c r="D186" s="161"/>
      <c r="E186" s="162"/>
      <c r="F186" s="22"/>
    </row>
    <row r="187" spans="1:6" ht="39.75" customHeight="1" x14ac:dyDescent="0.25">
      <c r="A187" s="22"/>
      <c r="B187" s="77" t="s">
        <v>11</v>
      </c>
      <c r="C187" s="163" t="str">
        <f>TRIM(INVOICE!E9)</f>
        <v>Manaus</v>
      </c>
      <c r="D187" s="142"/>
      <c r="E187" s="137"/>
      <c r="F187" s="22"/>
    </row>
    <row r="188" spans="1:6" ht="39.75" customHeight="1" x14ac:dyDescent="0.25">
      <c r="A188" s="22"/>
      <c r="B188" s="77" t="s">
        <v>20</v>
      </c>
      <c r="C188" s="163" t="str">
        <f>TRIM(INVOICE!B9)</f>
        <v>Evolucao Ecolodge</v>
      </c>
      <c r="D188" s="142"/>
      <c r="E188" s="137"/>
      <c r="F188" s="22"/>
    </row>
    <row r="189" spans="1:6" ht="39.75" customHeight="1" x14ac:dyDescent="0.25">
      <c r="A189" s="22"/>
      <c r="B189" s="77" t="s">
        <v>21</v>
      </c>
      <c r="C189" s="67" t="str">
        <f>TRIM(INVOICE!C9)</f>
        <v>SGL Cahlet</v>
      </c>
      <c r="D189" s="68" t="s">
        <v>22</v>
      </c>
      <c r="E189" s="69" t="str">
        <f>TRIM(INVOICE!G9)</f>
        <v>2</v>
      </c>
      <c r="F189" s="22"/>
    </row>
    <row r="190" spans="1:6" ht="39.75" customHeight="1" x14ac:dyDescent="0.25">
      <c r="A190" s="22"/>
      <c r="B190" s="77" t="s">
        <v>10</v>
      </c>
      <c r="C190" s="163" t="str">
        <f>TRIM(INVOICE!D9)</f>
        <v>Full board</v>
      </c>
      <c r="D190" s="142"/>
      <c r="E190" s="137"/>
      <c r="F190" s="22"/>
    </row>
    <row r="191" spans="1:6" ht="39.75" customHeight="1" x14ac:dyDescent="0.25">
      <c r="A191" s="22"/>
      <c r="B191" s="77" t="s">
        <v>23</v>
      </c>
      <c r="C191" s="163" t="str">
        <f>TRIM(INVOICE!A9)</f>
        <v>Check In: 08.05.2026 
Check Out: 10.05.2026</v>
      </c>
      <c r="D191" s="142"/>
      <c r="E191" s="137"/>
      <c r="F191" s="22"/>
    </row>
    <row r="192" spans="1:6" ht="39.75" customHeight="1" x14ac:dyDescent="0.25">
      <c r="A192" s="22"/>
      <c r="B192" s="77" t="s">
        <v>24</v>
      </c>
      <c r="C192" s="173"/>
      <c r="D192" s="174"/>
      <c r="E192" s="175"/>
      <c r="F192" s="22"/>
    </row>
    <row r="193" spans="1:6" ht="39.75" customHeight="1" thickBot="1" x14ac:dyDescent="0.3">
      <c r="A193" s="22"/>
      <c r="B193" s="78" t="s">
        <v>25</v>
      </c>
      <c r="C193" s="176"/>
      <c r="D193" s="177"/>
      <c r="E193" s="178"/>
      <c r="F193" s="22"/>
    </row>
    <row r="194" spans="1:6" ht="99.75" customHeight="1" x14ac:dyDescent="0.25">
      <c r="A194" s="22"/>
      <c r="B194" s="167"/>
      <c r="C194" s="168"/>
      <c r="D194" s="25"/>
      <c r="E194" s="25"/>
      <c r="F194" s="22"/>
    </row>
    <row r="195" spans="1:6" ht="41.25" customHeight="1" x14ac:dyDescent="0.25">
      <c r="A195" s="22"/>
      <c r="B195" s="171"/>
      <c r="C195" s="172"/>
      <c r="D195" s="25"/>
      <c r="E195" s="25"/>
      <c r="F195" s="22"/>
    </row>
    <row r="196" spans="1:6" ht="33" customHeight="1" x14ac:dyDescent="0.25">
      <c r="A196" s="22"/>
      <c r="B196" s="22"/>
      <c r="C196" s="22"/>
      <c r="D196" s="22"/>
      <c r="E196" s="22"/>
      <c r="F196" s="22"/>
    </row>
    <row r="197" spans="1:6" ht="32.25" customHeight="1" thickBot="1" x14ac:dyDescent="0.3">
      <c r="A197" s="150"/>
      <c r="B197" s="150"/>
      <c r="C197" s="150"/>
      <c r="D197" s="25"/>
      <c r="E197" s="25"/>
      <c r="F197" s="22"/>
    </row>
    <row r="198" spans="1:6" ht="80" customHeight="1" x14ac:dyDescent="0.25">
      <c r="A198" s="25"/>
      <c r="B198" s="154"/>
      <c r="C198" s="155"/>
      <c r="D198" s="155"/>
      <c r="E198" s="156"/>
      <c r="F198" s="22"/>
    </row>
    <row r="199" spans="1:6" ht="33.75" customHeight="1" x14ac:dyDescent="0.25">
      <c r="A199" s="22"/>
      <c r="B199" s="63" t="s">
        <v>18</v>
      </c>
      <c r="C199" s="164" t="str">
        <f>TRIM(INVOICE!$G$1)</f>
        <v>INAE1352/26</v>
      </c>
      <c r="D199" s="165"/>
      <c r="E199" s="166"/>
      <c r="F199" s="22"/>
    </row>
    <row r="200" spans="1:6" ht="13.5" customHeight="1" thickBot="1" x14ac:dyDescent="0.3">
      <c r="A200" s="22"/>
      <c r="B200" s="64"/>
      <c r="C200" s="65"/>
      <c r="D200" s="65"/>
      <c r="E200" s="66"/>
      <c r="F200" s="22"/>
    </row>
    <row r="201" spans="1:6" ht="54" customHeight="1" x14ac:dyDescent="0.25">
      <c r="A201" s="22"/>
      <c r="B201" s="77" t="s">
        <v>19</v>
      </c>
      <c r="C201" s="160" t="str">
        <f>TRIM(INVOICE!$B$3)</f>
        <v>Nina Matalasova
Valeriia Polozova</v>
      </c>
      <c r="D201" s="161"/>
      <c r="E201" s="162"/>
      <c r="F201" s="22"/>
    </row>
    <row r="202" spans="1:6" ht="39.75" customHeight="1" x14ac:dyDescent="0.25">
      <c r="A202" s="22"/>
      <c r="B202" s="77" t="s">
        <v>11</v>
      </c>
      <c r="C202" s="163" t="str">
        <f>TRIM(INVOICE!E9)</f>
        <v>Manaus</v>
      </c>
      <c r="D202" s="142"/>
      <c r="E202" s="137"/>
      <c r="F202" s="22"/>
    </row>
    <row r="203" spans="1:6" ht="39.75" customHeight="1" x14ac:dyDescent="0.25">
      <c r="A203" s="22"/>
      <c r="B203" s="77" t="s">
        <v>20</v>
      </c>
      <c r="C203" s="163" t="str">
        <f>TRIM(INVOICE!B9)</f>
        <v>Evolucao Ecolodge</v>
      </c>
      <c r="D203" s="142"/>
      <c r="E203" s="137"/>
      <c r="F203" s="22"/>
    </row>
    <row r="204" spans="1:6" ht="39.75" customHeight="1" x14ac:dyDescent="0.25">
      <c r="A204" s="22"/>
      <c r="B204" s="77" t="s">
        <v>21</v>
      </c>
      <c r="C204" s="67" t="str">
        <f>TRIM(INVOICE!C9)</f>
        <v>SGL Cahlet</v>
      </c>
      <c r="D204" s="68" t="s">
        <v>22</v>
      </c>
      <c r="E204" s="69" t="str">
        <f>TRIM(INVOICE!G9)</f>
        <v>2</v>
      </c>
      <c r="F204" s="22"/>
    </row>
    <row r="205" spans="1:6" ht="39.75" customHeight="1" x14ac:dyDescent="0.25">
      <c r="A205" s="22"/>
      <c r="B205" s="77" t="s">
        <v>10</v>
      </c>
      <c r="C205" s="163" t="str">
        <f>TRIM(INVOICE!D9)</f>
        <v>Full board</v>
      </c>
      <c r="D205" s="142"/>
      <c r="E205" s="137"/>
      <c r="F205" s="22"/>
    </row>
    <row r="206" spans="1:6" ht="39.75" customHeight="1" x14ac:dyDescent="0.25">
      <c r="A206" s="22"/>
      <c r="B206" s="77" t="s">
        <v>23</v>
      </c>
      <c r="C206" s="163" t="str">
        <f>TRIM(INVOICE!A9)</f>
        <v>Check In: 08.05.2026 
Check Out: 10.05.2026</v>
      </c>
      <c r="D206" s="142"/>
      <c r="E206" s="137"/>
      <c r="F206" s="22"/>
    </row>
    <row r="207" spans="1:6" ht="39.75" customHeight="1" x14ac:dyDescent="0.25">
      <c r="A207" s="22"/>
      <c r="B207" s="77" t="s">
        <v>24</v>
      </c>
      <c r="C207" s="173"/>
      <c r="D207" s="174"/>
      <c r="E207" s="175"/>
      <c r="F207" s="22"/>
    </row>
    <row r="208" spans="1:6" ht="39.75" customHeight="1" thickBot="1" x14ac:dyDescent="0.3">
      <c r="A208" s="22"/>
      <c r="B208" s="78" t="s">
        <v>25</v>
      </c>
      <c r="C208" s="176"/>
      <c r="D208" s="177"/>
      <c r="E208" s="178"/>
      <c r="F208" s="22"/>
    </row>
    <row r="209" spans="1:6" ht="99.75" customHeight="1" x14ac:dyDescent="0.25">
      <c r="A209" s="22"/>
      <c r="B209" s="167"/>
      <c r="C209" s="168"/>
      <c r="D209" s="25"/>
      <c r="E209" s="25"/>
      <c r="F209" s="22"/>
    </row>
    <row r="210" spans="1:6" ht="43.5" customHeight="1" x14ac:dyDescent="0.25">
      <c r="A210" s="22"/>
      <c r="B210" s="171"/>
      <c r="C210" s="172"/>
      <c r="D210" s="25"/>
      <c r="E210" s="25"/>
      <c r="F210" s="22"/>
    </row>
    <row r="211" spans="1:6" ht="30" customHeight="1" x14ac:dyDescent="0.25">
      <c r="A211" s="22"/>
      <c r="B211" s="22"/>
      <c r="C211" s="22"/>
      <c r="D211" s="22"/>
      <c r="E211" s="22"/>
      <c r="F211" s="22"/>
    </row>
    <row r="212" spans="1:6" ht="40.5" customHeight="1" thickBot="1" x14ac:dyDescent="0.3">
      <c r="A212" s="150"/>
      <c r="B212" s="150"/>
      <c r="C212" s="150"/>
      <c r="D212" s="25"/>
      <c r="E212" s="25"/>
      <c r="F212" s="22"/>
    </row>
    <row r="213" spans="1:6" ht="80" customHeight="1" x14ac:dyDescent="0.25">
      <c r="A213" s="25"/>
      <c r="B213" s="154"/>
      <c r="C213" s="155"/>
      <c r="D213" s="155"/>
      <c r="E213" s="156"/>
      <c r="F213" s="22"/>
    </row>
    <row r="214" spans="1:6" ht="33.75" customHeight="1" x14ac:dyDescent="0.25">
      <c r="A214" s="22"/>
      <c r="B214" s="63" t="s">
        <v>18</v>
      </c>
      <c r="C214" s="164" t="str">
        <f>TRIM(INVOICE!$G$1)</f>
        <v>INAE1352/26</v>
      </c>
      <c r="D214" s="165"/>
      <c r="E214" s="166"/>
      <c r="F214" s="22"/>
    </row>
    <row r="215" spans="1:6" ht="13.5" customHeight="1" thickBot="1" x14ac:dyDescent="0.3">
      <c r="A215" s="22"/>
      <c r="B215" s="64"/>
      <c r="C215" s="65"/>
      <c r="D215" s="65"/>
      <c r="E215" s="66"/>
      <c r="F215" s="22"/>
    </row>
    <row r="216" spans="1:6" ht="54" customHeight="1" x14ac:dyDescent="0.25">
      <c r="A216" s="22"/>
      <c r="B216" s="77" t="s">
        <v>19</v>
      </c>
      <c r="C216" s="160" t="str">
        <f>TRIM(INVOICE!$B$3)</f>
        <v>Nina Matalasova
Valeriia Polozova</v>
      </c>
      <c r="D216" s="161"/>
      <c r="E216" s="162"/>
      <c r="F216" s="22"/>
    </row>
    <row r="217" spans="1:6" ht="39.75" customHeight="1" x14ac:dyDescent="0.25">
      <c r="A217" s="22"/>
      <c r="B217" s="77" t="s">
        <v>11</v>
      </c>
      <c r="C217" s="163" t="str">
        <f>TRIM(INVOICE!E9)</f>
        <v>Manaus</v>
      </c>
      <c r="D217" s="142"/>
      <c r="E217" s="137"/>
      <c r="F217" s="22"/>
    </row>
    <row r="218" spans="1:6" ht="39.75" customHeight="1" x14ac:dyDescent="0.25">
      <c r="A218" s="22"/>
      <c r="B218" s="77" t="s">
        <v>20</v>
      </c>
      <c r="C218" s="163" t="str">
        <f>TRIM(INVOICE!B9)</f>
        <v>Evolucao Ecolodge</v>
      </c>
      <c r="D218" s="142"/>
      <c r="E218" s="137"/>
      <c r="F218" s="22"/>
    </row>
    <row r="219" spans="1:6" ht="39.75" customHeight="1" x14ac:dyDescent="0.25">
      <c r="A219" s="22"/>
      <c r="B219" s="77" t="s">
        <v>21</v>
      </c>
      <c r="C219" s="67" t="str">
        <f>TRIM(INVOICE!C9)</f>
        <v>SGL Cahlet</v>
      </c>
      <c r="D219" s="68" t="s">
        <v>22</v>
      </c>
      <c r="E219" s="69" t="str">
        <f>TRIM(INVOICE!G9)</f>
        <v>2</v>
      </c>
      <c r="F219" s="22"/>
    </row>
    <row r="220" spans="1:6" ht="39.75" customHeight="1" x14ac:dyDescent="0.25">
      <c r="A220" s="22"/>
      <c r="B220" s="77" t="s">
        <v>10</v>
      </c>
      <c r="C220" s="163" t="str">
        <f>TRIM(INVOICE!D9)</f>
        <v>Full board</v>
      </c>
      <c r="D220" s="142"/>
      <c r="E220" s="137"/>
      <c r="F220" s="22"/>
    </row>
    <row r="221" spans="1:6" ht="39.75" customHeight="1" x14ac:dyDescent="0.25">
      <c r="A221" s="22"/>
      <c r="B221" s="77" t="s">
        <v>23</v>
      </c>
      <c r="C221" s="163" t="str">
        <f>TRIM(INVOICE!A9)</f>
        <v>Check In: 08.05.2026 
Check Out: 10.05.2026</v>
      </c>
      <c r="D221" s="142"/>
      <c r="E221" s="137"/>
      <c r="F221" s="22"/>
    </row>
    <row r="222" spans="1:6" ht="39.75" customHeight="1" x14ac:dyDescent="0.25">
      <c r="A222" s="22"/>
      <c r="B222" s="77" t="s">
        <v>24</v>
      </c>
      <c r="C222" s="173"/>
      <c r="D222" s="174"/>
      <c r="E222" s="175"/>
      <c r="F222" s="22"/>
    </row>
    <row r="223" spans="1:6" ht="39.75" customHeight="1" thickBot="1" x14ac:dyDescent="0.3">
      <c r="A223" s="22"/>
      <c r="B223" s="78" t="s">
        <v>25</v>
      </c>
      <c r="C223" s="176"/>
      <c r="D223" s="177"/>
      <c r="E223" s="178"/>
      <c r="F223" s="22"/>
    </row>
    <row r="224" spans="1:6" ht="99.75" customHeight="1" x14ac:dyDescent="0.25">
      <c r="A224" s="22"/>
      <c r="B224" s="167"/>
      <c r="C224" s="168"/>
      <c r="D224" s="25"/>
      <c r="E224" s="25"/>
      <c r="F224" s="22"/>
    </row>
    <row r="225" spans="1:6" ht="62.25" customHeight="1" x14ac:dyDescent="0.25">
      <c r="A225" s="22"/>
      <c r="B225" s="171"/>
      <c r="C225" s="172"/>
      <c r="D225" s="25"/>
      <c r="E225" s="25"/>
      <c r="F225" s="22"/>
    </row>
    <row r="226" spans="1:6" ht="39" customHeight="1" x14ac:dyDescent="0.25">
      <c r="A226" s="22"/>
      <c r="B226" s="22"/>
      <c r="C226" s="26"/>
      <c r="D226" s="26"/>
      <c r="E226" s="26"/>
      <c r="F226" s="22"/>
    </row>
    <row r="227" spans="1:6" ht="37.5" customHeight="1" thickBot="1" x14ac:dyDescent="0.3">
      <c r="A227" s="22"/>
      <c r="B227" s="22"/>
      <c r="C227" s="22"/>
      <c r="D227" s="22"/>
      <c r="E227" s="22"/>
      <c r="F227" s="22"/>
    </row>
    <row r="228" spans="1:6" ht="80" customHeight="1" x14ac:dyDescent="0.25">
      <c r="A228" s="22"/>
      <c r="B228" s="154"/>
      <c r="C228" s="155"/>
      <c r="D228" s="155"/>
      <c r="E228" s="156"/>
      <c r="F228" s="22"/>
    </row>
    <row r="229" spans="1:6" ht="33.75" customHeight="1" x14ac:dyDescent="0.25">
      <c r="A229" s="22"/>
      <c r="B229" s="63" t="s">
        <v>18</v>
      </c>
      <c r="C229" s="164" t="str">
        <f>TRIM(INVOICE!$G$1)</f>
        <v>INAE1352/26</v>
      </c>
      <c r="D229" s="165"/>
      <c r="E229" s="166"/>
      <c r="F229" s="22"/>
    </row>
    <row r="230" spans="1:6" ht="13.5" customHeight="1" thickBot="1" x14ac:dyDescent="0.3">
      <c r="A230" s="22"/>
      <c r="B230" s="64"/>
      <c r="C230" s="65"/>
      <c r="D230" s="65"/>
      <c r="E230" s="66"/>
      <c r="F230" s="22"/>
    </row>
    <row r="231" spans="1:6" ht="54" customHeight="1" x14ac:dyDescent="0.25">
      <c r="A231" s="22"/>
      <c r="B231" s="77" t="s">
        <v>19</v>
      </c>
      <c r="C231" s="160" t="str">
        <f>TRIM(INVOICE!$B$3)</f>
        <v>Nina Matalasova
Valeriia Polozova</v>
      </c>
      <c r="D231" s="161"/>
      <c r="E231" s="162"/>
      <c r="F231" s="22"/>
    </row>
    <row r="232" spans="1:6" ht="39.75" customHeight="1" x14ac:dyDescent="0.25">
      <c r="A232" s="22"/>
      <c r="B232" s="77" t="s">
        <v>11</v>
      </c>
      <c r="C232" s="163" t="str">
        <f>TRIM(INVOICE!E9)</f>
        <v>Manaus</v>
      </c>
      <c r="D232" s="142"/>
      <c r="E232" s="137"/>
      <c r="F232" s="22"/>
    </row>
    <row r="233" spans="1:6" ht="39.75" customHeight="1" x14ac:dyDescent="0.25">
      <c r="A233" s="22"/>
      <c r="B233" s="77" t="s">
        <v>20</v>
      </c>
      <c r="C233" s="163" t="str">
        <f>TRIM(INVOICE!B9)</f>
        <v>Evolucao Ecolodge</v>
      </c>
      <c r="D233" s="142"/>
      <c r="E233" s="137"/>
      <c r="F233" s="22"/>
    </row>
    <row r="234" spans="1:6" ht="39.75" customHeight="1" x14ac:dyDescent="0.25">
      <c r="A234" s="22"/>
      <c r="B234" s="77" t="s">
        <v>21</v>
      </c>
      <c r="C234" s="67" t="str">
        <f>TRIM(INVOICE!C9)</f>
        <v>SGL Cahlet</v>
      </c>
      <c r="D234" s="68" t="s">
        <v>22</v>
      </c>
      <c r="E234" s="69" t="str">
        <f>TRIM(INVOICE!G9)</f>
        <v>2</v>
      </c>
      <c r="F234" s="22"/>
    </row>
    <row r="235" spans="1:6" ht="39.75" customHeight="1" x14ac:dyDescent="0.25">
      <c r="A235" s="22"/>
      <c r="B235" s="77" t="s">
        <v>10</v>
      </c>
      <c r="C235" s="163" t="str">
        <f>TRIM(INVOICE!D9)</f>
        <v>Full board</v>
      </c>
      <c r="D235" s="142"/>
      <c r="E235" s="137"/>
      <c r="F235" s="22"/>
    </row>
    <row r="236" spans="1:6" ht="39.75" customHeight="1" x14ac:dyDescent="0.25">
      <c r="A236" s="22"/>
      <c r="B236" s="77" t="s">
        <v>23</v>
      </c>
      <c r="C236" s="163" t="str">
        <f>TRIM(INVOICE!A9)</f>
        <v>Check In: 08.05.2026 
Check Out: 10.05.2026</v>
      </c>
      <c r="D236" s="142"/>
      <c r="E236" s="137"/>
      <c r="F236" s="22"/>
    </row>
    <row r="237" spans="1:6" ht="39.75" customHeight="1" x14ac:dyDescent="0.25">
      <c r="A237" s="22"/>
      <c r="B237" s="77" t="s">
        <v>24</v>
      </c>
      <c r="C237" s="173"/>
      <c r="D237" s="174"/>
      <c r="E237" s="175"/>
      <c r="F237" s="22"/>
    </row>
    <row r="238" spans="1:6" ht="39.75" customHeight="1" thickBot="1" x14ac:dyDescent="0.3">
      <c r="A238" s="22"/>
      <c r="B238" s="78" t="s">
        <v>25</v>
      </c>
      <c r="C238" s="176"/>
      <c r="D238" s="177"/>
      <c r="E238" s="178"/>
      <c r="F238" s="22"/>
    </row>
    <row r="239" spans="1:6" ht="39.75" customHeight="1" x14ac:dyDescent="0.25">
      <c r="A239" s="22"/>
      <c r="B239" s="179"/>
      <c r="C239" s="180"/>
      <c r="D239" s="27"/>
      <c r="E239" s="27"/>
      <c r="F239" s="22"/>
    </row>
    <row r="240" spans="1:6" ht="63.75" customHeight="1" x14ac:dyDescent="0.25">
      <c r="A240" s="22"/>
      <c r="B240" s="181"/>
      <c r="C240" s="181"/>
      <c r="D240" s="27"/>
      <c r="E240" s="27"/>
      <c r="F240" s="22"/>
    </row>
    <row r="241" spans="1:6" ht="70.5" customHeight="1" x14ac:dyDescent="0.25">
      <c r="A241" s="22"/>
      <c r="B241" s="181"/>
      <c r="C241" s="181"/>
      <c r="D241" s="27"/>
      <c r="E241" s="27"/>
      <c r="F241" s="22"/>
    </row>
    <row r="242" spans="1:6" ht="12.75" customHeight="1" x14ac:dyDescent="0.25"/>
    <row r="243" spans="1:6" ht="33" customHeight="1" x14ac:dyDescent="0.25"/>
    <row r="244" spans="1:6" ht="30" customHeight="1" x14ac:dyDescent="0.25"/>
    <row r="245" spans="1:6" ht="60" customHeight="1" x14ac:dyDescent="0.25"/>
    <row r="246" spans="1:6" ht="33" customHeight="1" x14ac:dyDescent="0.25"/>
    <row r="247" spans="1:6" ht="33" customHeight="1" x14ac:dyDescent="0.25"/>
    <row r="248" spans="1:6" ht="33" customHeight="1" x14ac:dyDescent="0.25"/>
    <row r="249" spans="1:6" ht="33" customHeight="1" x14ac:dyDescent="0.25"/>
    <row r="250" spans="1:6" ht="33" customHeight="1" x14ac:dyDescent="0.25"/>
    <row r="251" spans="1:6" ht="33" customHeight="1" x14ac:dyDescent="0.25"/>
    <row r="252" spans="1:6" ht="33" customHeight="1" x14ac:dyDescent="0.25"/>
    <row r="253" spans="1:6" ht="33" customHeight="1" x14ac:dyDescent="0.25"/>
    <row r="254" spans="1:6" ht="33" customHeight="1" x14ac:dyDescent="0.25"/>
    <row r="255" spans="1:6" ht="91.5" customHeight="1" x14ac:dyDescent="0.25"/>
    <row r="256" spans="1:6" ht="33" customHeight="1" x14ac:dyDescent="0.25"/>
    <row r="257" ht="33" customHeight="1" x14ac:dyDescent="0.25"/>
    <row r="258" ht="33" customHeight="1" x14ac:dyDescent="0.25"/>
    <row r="259" ht="33" customHeight="1" x14ac:dyDescent="0.25"/>
    <row r="260" ht="33" customHeight="1" x14ac:dyDescent="0.25"/>
    <row r="261" ht="33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</sheetData>
  <mergeCells count="163">
    <mergeCell ref="B198:E198"/>
    <mergeCell ref="C199:E199"/>
    <mergeCell ref="C178:E178"/>
    <mergeCell ref="B179:C180"/>
    <mergeCell ref="B183:E183"/>
    <mergeCell ref="C184:E184"/>
    <mergeCell ref="C186:E186"/>
    <mergeCell ref="C187:E187"/>
    <mergeCell ref="C188:E188"/>
    <mergeCell ref="C190:E190"/>
    <mergeCell ref="C173:E173"/>
    <mergeCell ref="C175:E175"/>
    <mergeCell ref="C176:E176"/>
    <mergeCell ref="C177:E177"/>
    <mergeCell ref="C191:E191"/>
    <mergeCell ref="C192:E192"/>
    <mergeCell ref="C193:E193"/>
    <mergeCell ref="B194:C195"/>
    <mergeCell ref="A197:C197"/>
    <mergeCell ref="C222:E222"/>
    <mergeCell ref="C223:E223"/>
    <mergeCell ref="C202:E202"/>
    <mergeCell ref="C203:E203"/>
    <mergeCell ref="C205:E205"/>
    <mergeCell ref="C206:E206"/>
    <mergeCell ref="C207:E207"/>
    <mergeCell ref="C208:E208"/>
    <mergeCell ref="B209:C210"/>
    <mergeCell ref="C237:E237"/>
    <mergeCell ref="C238:E238"/>
    <mergeCell ref="B239:C241"/>
    <mergeCell ref="B228:E228"/>
    <mergeCell ref="C229:E229"/>
    <mergeCell ref="C231:E231"/>
    <mergeCell ref="C232:E232"/>
    <mergeCell ref="C233:E233"/>
    <mergeCell ref="C235:E235"/>
    <mergeCell ref="A152:C152"/>
    <mergeCell ref="B153:E153"/>
    <mergeCell ref="C154:E154"/>
    <mergeCell ref="C156:E156"/>
    <mergeCell ref="C157:E157"/>
    <mergeCell ref="C158:E158"/>
    <mergeCell ref="C160:E160"/>
    <mergeCell ref="A212:C212"/>
    <mergeCell ref="C236:E236"/>
    <mergeCell ref="C161:E161"/>
    <mergeCell ref="C162:E162"/>
    <mergeCell ref="C163:E163"/>
    <mergeCell ref="B164:C165"/>
    <mergeCell ref="B168:E168"/>
    <mergeCell ref="C169:E169"/>
    <mergeCell ref="C171:E171"/>
    <mergeCell ref="C172:E172"/>
    <mergeCell ref="B224:C225"/>
    <mergeCell ref="C214:E214"/>
    <mergeCell ref="C216:E216"/>
    <mergeCell ref="C217:E217"/>
    <mergeCell ref="C218:E218"/>
    <mergeCell ref="C220:E220"/>
    <mergeCell ref="C221:E221"/>
    <mergeCell ref="C118:E118"/>
    <mergeCell ref="B119:C121"/>
    <mergeCell ref="B123:E123"/>
    <mergeCell ref="C124:E124"/>
    <mergeCell ref="C126:E126"/>
    <mergeCell ref="C127:E127"/>
    <mergeCell ref="C128:E128"/>
    <mergeCell ref="C130:E130"/>
    <mergeCell ref="B213:E213"/>
    <mergeCell ref="C131:E131"/>
    <mergeCell ref="C132:E132"/>
    <mergeCell ref="C133:E133"/>
    <mergeCell ref="B134:C135"/>
    <mergeCell ref="C201:E201"/>
    <mergeCell ref="B138:E138"/>
    <mergeCell ref="C139:E139"/>
    <mergeCell ref="C141:E141"/>
    <mergeCell ref="C142:E142"/>
    <mergeCell ref="C143:E143"/>
    <mergeCell ref="C145:E145"/>
    <mergeCell ref="C146:E146"/>
    <mergeCell ref="C147:E147"/>
    <mergeCell ref="C148:E148"/>
    <mergeCell ref="B149:C150"/>
    <mergeCell ref="B104:C105"/>
    <mergeCell ref="B108:E108"/>
    <mergeCell ref="C109:E109"/>
    <mergeCell ref="C111:E111"/>
    <mergeCell ref="C112:E112"/>
    <mergeCell ref="C113:E113"/>
    <mergeCell ref="C115:E115"/>
    <mergeCell ref="C116:E116"/>
    <mergeCell ref="C117:E117"/>
    <mergeCell ref="B93:E93"/>
    <mergeCell ref="C94:E94"/>
    <mergeCell ref="C96:E96"/>
    <mergeCell ref="C97:E97"/>
    <mergeCell ref="C98:E98"/>
    <mergeCell ref="C100:E100"/>
    <mergeCell ref="C101:E101"/>
    <mergeCell ref="C102:E102"/>
    <mergeCell ref="C103:E103"/>
    <mergeCell ref="C79:E79"/>
    <mergeCell ref="C81:E81"/>
    <mergeCell ref="C82:E82"/>
    <mergeCell ref="C83:E83"/>
    <mergeCell ref="C85:E85"/>
    <mergeCell ref="C86:E86"/>
    <mergeCell ref="C87:E87"/>
    <mergeCell ref="C88:E88"/>
    <mergeCell ref="B89:C90"/>
    <mergeCell ref="C66:E66"/>
    <mergeCell ref="C67:E67"/>
    <mergeCell ref="C68:E68"/>
    <mergeCell ref="C70:E70"/>
    <mergeCell ref="C71:E71"/>
    <mergeCell ref="C72:E72"/>
    <mergeCell ref="C73:E73"/>
    <mergeCell ref="B74:C75"/>
    <mergeCell ref="B78:E78"/>
    <mergeCell ref="C52:E52"/>
    <mergeCell ref="C53:E53"/>
    <mergeCell ref="C55:E55"/>
    <mergeCell ref="C56:E56"/>
    <mergeCell ref="C57:E57"/>
    <mergeCell ref="C58:E58"/>
    <mergeCell ref="B59:C61"/>
    <mergeCell ref="B63:E63"/>
    <mergeCell ref="C64:E64"/>
    <mergeCell ref="B2:E2"/>
    <mergeCell ref="C3:E3"/>
    <mergeCell ref="C5:E5"/>
    <mergeCell ref="C6:E6"/>
    <mergeCell ref="C7:E7"/>
    <mergeCell ref="C9:E9"/>
    <mergeCell ref="C10:E10"/>
    <mergeCell ref="C11:E11"/>
    <mergeCell ref="C25:E25"/>
    <mergeCell ref="A166:C167"/>
    <mergeCell ref="C12:E12"/>
    <mergeCell ref="B13:C15"/>
    <mergeCell ref="B17:E17"/>
    <mergeCell ref="C18:E18"/>
    <mergeCell ref="C20:E20"/>
    <mergeCell ref="C21:E21"/>
    <mergeCell ref="C22:E22"/>
    <mergeCell ref="C24:E24"/>
    <mergeCell ref="C26:E26"/>
    <mergeCell ref="C27:E27"/>
    <mergeCell ref="B28:C29"/>
    <mergeCell ref="B33:E33"/>
    <mergeCell ref="C34:E34"/>
    <mergeCell ref="C36:E36"/>
    <mergeCell ref="C38:E38"/>
    <mergeCell ref="C37:E37"/>
    <mergeCell ref="C41:E41"/>
    <mergeCell ref="C42:E42"/>
    <mergeCell ref="C43:E43"/>
    <mergeCell ref="B48:E48"/>
    <mergeCell ref="C49:E49"/>
    <mergeCell ref="C51:E51"/>
    <mergeCell ref="C40:E40"/>
  </mergeCells>
  <pageMargins left="0.511811024" right="0.511811024" top="0.78740157499999996" bottom="0.78740157499999996" header="0" footer="0"/>
  <pageSetup paperSize="9" scale="29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59"/>
  <sheetViews>
    <sheetView showGridLines="0" zoomScaleNormal="100" workbookViewId="0">
      <selection activeCell="B2" sqref="B2"/>
    </sheetView>
  </sheetViews>
  <sheetFormatPr defaultColWidth="12.6328125" defaultRowHeight="15" customHeight="1" x14ac:dyDescent="0.25"/>
  <cols>
    <col min="1" max="1" width="9" customWidth="1"/>
    <col min="2" max="2" width="30.36328125" customWidth="1"/>
    <col min="3" max="3" width="80.36328125" style="43" customWidth="1"/>
    <col min="4" max="21" width="8.81640625" customWidth="1"/>
  </cols>
  <sheetData>
    <row r="1" spans="1:3" ht="75" customHeight="1" thickBot="1" x14ac:dyDescent="0.3">
      <c r="A1" s="28"/>
      <c r="B1" s="71"/>
      <c r="C1" s="72"/>
    </row>
    <row r="2" spans="1:3" ht="30" customHeight="1" x14ac:dyDescent="0.25">
      <c r="A2" s="29"/>
      <c r="B2" s="81" t="s">
        <v>18</v>
      </c>
      <c r="C2" s="82" t="str">
        <f>TRIM(INVOICE!$G$1)</f>
        <v>INAE1352/26</v>
      </c>
    </row>
    <row r="3" spans="1:3" ht="25" customHeight="1" x14ac:dyDescent="0.25">
      <c r="A3" s="29"/>
      <c r="B3" s="83" t="s">
        <v>19</v>
      </c>
      <c r="C3" s="84" t="str">
        <f>TRIM(INVOICE!$B$3)</f>
        <v>Nina Matalasova
Valeriia Polozova</v>
      </c>
    </row>
    <row r="4" spans="1:3" ht="25" customHeight="1" x14ac:dyDescent="0.25">
      <c r="A4" s="29"/>
      <c r="B4" s="83" t="s">
        <v>11</v>
      </c>
      <c r="C4" s="85" t="str">
        <f>TRIM(INVOICE!$E$25)</f>
        <v>Manaus</v>
      </c>
    </row>
    <row r="5" spans="1:3" ht="5.25" customHeight="1" thickBot="1" x14ac:dyDescent="0.3">
      <c r="A5" s="29"/>
      <c r="B5" s="182"/>
      <c r="C5" s="183"/>
    </row>
    <row r="6" spans="1:3" ht="17.25" customHeight="1" thickBot="1" x14ac:dyDescent="0.3">
      <c r="A6" s="29"/>
      <c r="B6" s="30"/>
      <c r="C6" s="74"/>
    </row>
    <row r="7" spans="1:3" ht="30" customHeight="1" x14ac:dyDescent="0.35">
      <c r="A7" s="31"/>
      <c r="B7" s="184" t="s">
        <v>13</v>
      </c>
      <c r="C7" s="185"/>
    </row>
    <row r="8" spans="1:3" ht="25" customHeight="1" x14ac:dyDescent="0.25">
      <c r="A8" s="29"/>
      <c r="B8" s="86" t="str">
        <f>TRIM(INVOICE!A25)</f>
        <v>08-10.05.2026</v>
      </c>
      <c r="C8" s="84" t="str">
        <f>TRIM(INVOICE!B25)</f>
        <v>Evolucao Ecolodge Pakage 3d2n included transfers and tours in group with English guide, Meeting of the waters, inc Pink dolphins swimming</v>
      </c>
    </row>
    <row r="9" spans="1:3" ht="25" customHeight="1" x14ac:dyDescent="0.25">
      <c r="A9" s="29"/>
      <c r="B9" s="86" t="e">
        <f>TRIM(INVOICE!#REF!)</f>
        <v>#REF!</v>
      </c>
      <c r="C9" s="84" t="e">
        <f>TRIM(INVOICE!#REF!)</f>
        <v>#REF!</v>
      </c>
    </row>
    <row r="10" spans="1:3" ht="25" customHeight="1" x14ac:dyDescent="0.25">
      <c r="A10" s="29"/>
      <c r="B10" s="86" t="e">
        <f>TRIM(INVOICE!#REF!)</f>
        <v>#REF!</v>
      </c>
      <c r="C10" s="84" t="e">
        <f>TRIM(INVOICE!#REF!)</f>
        <v>#REF!</v>
      </c>
    </row>
    <row r="11" spans="1:3" ht="25" customHeight="1" x14ac:dyDescent="0.25">
      <c r="A11" s="29"/>
      <c r="B11" s="86" t="e">
        <f>TRIM(INVOICE!#REF!)</f>
        <v>#REF!</v>
      </c>
      <c r="C11" s="84" t="e">
        <f>TRIM(INVOICE!#REF!)</f>
        <v>#REF!</v>
      </c>
    </row>
    <row r="12" spans="1:3" ht="25" customHeight="1" x14ac:dyDescent="0.25">
      <c r="A12" s="29"/>
      <c r="B12" s="86" t="e">
        <f>TRIM(INVOICE!#REF!)</f>
        <v>#REF!</v>
      </c>
      <c r="C12" s="84" t="e">
        <f>TRIM(INVOICE!#REF!)</f>
        <v>#REF!</v>
      </c>
    </row>
    <row r="13" spans="1:3" ht="25" customHeight="1" x14ac:dyDescent="0.25">
      <c r="A13" s="29"/>
      <c r="B13" s="86" t="e">
        <f>TRIM(INVOICE!#REF!)</f>
        <v>#REF!</v>
      </c>
      <c r="C13" s="84" t="e">
        <f>TRIM(INVOICE!#REF!)</f>
        <v>#REF!</v>
      </c>
    </row>
    <row r="14" spans="1:3" ht="25" customHeight="1" x14ac:dyDescent="0.25">
      <c r="A14" s="29"/>
      <c r="B14" s="86" t="e">
        <f>TRIM(INVOICE!#REF!)</f>
        <v>#REF!</v>
      </c>
      <c r="C14" s="84" t="e">
        <f>TRIM(INVOICE!#REF!)</f>
        <v>#REF!</v>
      </c>
    </row>
    <row r="15" spans="1:3" ht="25" customHeight="1" x14ac:dyDescent="0.25">
      <c r="A15" s="29"/>
      <c r="B15" s="87" t="e">
        <f>TRIM(INVOICE!#REF!)</f>
        <v>#REF!</v>
      </c>
      <c r="C15" s="88" t="e">
        <f>TRIM(INVOICE!#REF!)</f>
        <v>#REF!</v>
      </c>
    </row>
    <row r="16" spans="1:3" ht="25" customHeight="1" x14ac:dyDescent="0.25">
      <c r="A16" s="29"/>
      <c r="B16" s="87" t="e">
        <f>TRIM(INVOICE!#REF!)</f>
        <v>#REF!</v>
      </c>
      <c r="C16" s="88" t="e">
        <f>TRIM(INVOICE!#REF!)</f>
        <v>#REF!</v>
      </c>
    </row>
    <row r="17" spans="1:3" ht="25" customHeight="1" thickBot="1" x14ac:dyDescent="0.3">
      <c r="A17" s="29"/>
      <c r="B17" s="89" t="e">
        <f>TRIM(INVOICE!#REF!)</f>
        <v>#REF!</v>
      </c>
      <c r="C17" s="90" t="e">
        <f>TRIM(INVOICE!#REF!)</f>
        <v>#REF!</v>
      </c>
    </row>
    <row r="18" spans="1:3" ht="91.5" customHeight="1" x14ac:dyDescent="0.25">
      <c r="A18" s="29"/>
      <c r="B18" s="186"/>
      <c r="C18" s="142"/>
    </row>
    <row r="19" spans="1:3" ht="35.25" customHeight="1" x14ac:dyDescent="0.25">
      <c r="A19" s="92"/>
      <c r="B19" s="92"/>
      <c r="C19" s="92"/>
    </row>
    <row r="20" spans="1:3" ht="39.75" customHeight="1" thickBot="1" x14ac:dyDescent="0.3">
      <c r="A20" s="92"/>
      <c r="B20" s="92"/>
      <c r="C20" s="92"/>
    </row>
    <row r="21" spans="1:3" ht="75" customHeight="1" thickBot="1" x14ac:dyDescent="0.3">
      <c r="A21" s="73"/>
      <c r="B21" s="71"/>
      <c r="C21" s="72"/>
    </row>
    <row r="22" spans="1:3" ht="30" customHeight="1" x14ac:dyDescent="0.25">
      <c r="A22" s="29"/>
      <c r="B22" s="81" t="s">
        <v>18</v>
      </c>
      <c r="C22" s="82" t="str">
        <f>TRIM(INVOICE!$G$1)</f>
        <v>INAE1352/26</v>
      </c>
    </row>
    <row r="23" spans="1:3" ht="25" customHeight="1" x14ac:dyDescent="0.25">
      <c r="A23" s="29"/>
      <c r="B23" s="83" t="s">
        <v>19</v>
      </c>
      <c r="C23" s="84" t="str">
        <f>TRIM(INVOICE!$B$3)</f>
        <v>Nina Matalasova
Valeriia Polozova</v>
      </c>
    </row>
    <row r="24" spans="1:3" ht="25" customHeight="1" x14ac:dyDescent="0.25">
      <c r="A24" s="29"/>
      <c r="B24" s="83" t="s">
        <v>11</v>
      </c>
      <c r="C24" s="85" t="str">
        <f>TRIM(INVOICE!$E$25)</f>
        <v>Manaus</v>
      </c>
    </row>
    <row r="25" spans="1:3" ht="5" customHeight="1" x14ac:dyDescent="0.25">
      <c r="A25" s="29"/>
      <c r="B25" s="187"/>
      <c r="C25" s="188"/>
    </row>
    <row r="26" spans="1:3" ht="27" customHeight="1" thickBot="1" x14ac:dyDescent="0.3">
      <c r="A26" s="29"/>
      <c r="B26" s="32"/>
      <c r="C26" s="76"/>
    </row>
    <row r="27" spans="1:3" ht="30" customHeight="1" x14ac:dyDescent="0.35">
      <c r="A27" s="31"/>
      <c r="B27" s="184" t="s">
        <v>13</v>
      </c>
      <c r="C27" s="185"/>
    </row>
    <row r="28" spans="1:3" ht="25" customHeight="1" x14ac:dyDescent="0.35">
      <c r="A28" s="93"/>
      <c r="B28" s="86" t="str">
        <f>TRIM(INVOICE!A25)</f>
        <v>08-10.05.2026</v>
      </c>
      <c r="C28" s="84" t="str">
        <f>TRIM(INVOICE!B25)</f>
        <v>Evolucao Ecolodge Pakage 3d2n included transfers and tours in group with English guide, Meeting of the waters, inc Pink dolphins swimming</v>
      </c>
    </row>
    <row r="29" spans="1:3" ht="25" customHeight="1" x14ac:dyDescent="0.35">
      <c r="A29" s="93"/>
      <c r="B29" s="86" t="e">
        <f>TRIM(INVOICE!#REF!)</f>
        <v>#REF!</v>
      </c>
      <c r="C29" s="84" t="e">
        <f>TRIM(INVOICE!#REF!)</f>
        <v>#REF!</v>
      </c>
    </row>
    <row r="30" spans="1:3" ht="25" customHeight="1" x14ac:dyDescent="0.35">
      <c r="A30" s="93"/>
      <c r="B30" s="86" t="e">
        <f>TRIM(INVOICE!#REF!)</f>
        <v>#REF!</v>
      </c>
      <c r="C30" s="84" t="e">
        <f>TRIM(INVOICE!#REF!)</f>
        <v>#REF!</v>
      </c>
    </row>
    <row r="31" spans="1:3" ht="25" customHeight="1" x14ac:dyDescent="0.35">
      <c r="A31" s="93"/>
      <c r="B31" s="86" t="e">
        <f>TRIM(INVOICE!#REF!)</f>
        <v>#REF!</v>
      </c>
      <c r="C31" s="84" t="e">
        <f>TRIM(INVOICE!#REF!)</f>
        <v>#REF!</v>
      </c>
    </row>
    <row r="32" spans="1:3" ht="25" customHeight="1" x14ac:dyDescent="0.35">
      <c r="A32" s="93"/>
      <c r="B32" s="86" t="e">
        <f>TRIM(INVOICE!#REF!)</f>
        <v>#REF!</v>
      </c>
      <c r="C32" s="84" t="e">
        <f>TRIM(INVOICE!#REF!)</f>
        <v>#REF!</v>
      </c>
    </row>
    <row r="33" spans="1:3" ht="25" customHeight="1" x14ac:dyDescent="0.35">
      <c r="A33" s="93"/>
      <c r="B33" s="86" t="e">
        <f>TRIM(INVOICE!#REF!)</f>
        <v>#REF!</v>
      </c>
      <c r="C33" s="84" t="e">
        <f>TRIM(INVOICE!#REF!)</f>
        <v>#REF!</v>
      </c>
    </row>
    <row r="34" spans="1:3" ht="25" customHeight="1" x14ac:dyDescent="0.35">
      <c r="A34" s="93"/>
      <c r="B34" s="86" t="e">
        <f>TRIM(INVOICE!#REF!)</f>
        <v>#REF!</v>
      </c>
      <c r="C34" s="84" t="e">
        <f>TRIM(INVOICE!#REF!)</f>
        <v>#REF!</v>
      </c>
    </row>
    <row r="35" spans="1:3" ht="25" customHeight="1" x14ac:dyDescent="0.35">
      <c r="A35" s="93"/>
      <c r="B35" s="86" t="e">
        <f>TRIM(INVOICE!#REF!)</f>
        <v>#REF!</v>
      </c>
      <c r="C35" s="84" t="e">
        <f>TRIM(INVOICE!#REF!)</f>
        <v>#REF!</v>
      </c>
    </row>
    <row r="36" spans="1:3" ht="25" customHeight="1" x14ac:dyDescent="0.25">
      <c r="A36" s="29"/>
      <c r="B36" s="86" t="e">
        <f>TRIM(INVOICE!#REF!)</f>
        <v>#REF!</v>
      </c>
      <c r="C36" s="84" t="e">
        <f>TRIM(INVOICE!#REF!)</f>
        <v>#REF!</v>
      </c>
    </row>
    <row r="37" spans="1:3" ht="25" customHeight="1" thickBot="1" x14ac:dyDescent="0.3">
      <c r="A37" s="29"/>
      <c r="B37" s="89" t="e">
        <f>TRIM(INVOICE!#REF!)</f>
        <v>#REF!</v>
      </c>
      <c r="C37" s="90" t="e">
        <f>TRIM(INVOICE!#REF!)</f>
        <v>#REF!</v>
      </c>
    </row>
    <row r="38" spans="1:3" ht="39.75" hidden="1" customHeight="1" x14ac:dyDescent="0.25">
      <c r="A38" s="29"/>
      <c r="B38" s="33" t="e">
        <f>TRIM(INVOICE!#REF!)</f>
        <v>#REF!</v>
      </c>
      <c r="C38" s="75" t="e">
        <f>TRIM(INVOICE!#REF!)</f>
        <v>#REF!</v>
      </c>
    </row>
    <row r="39" spans="1:3" ht="39.75" hidden="1" customHeight="1" x14ac:dyDescent="0.25">
      <c r="A39" s="29"/>
      <c r="B39" s="33" t="e">
        <f>TRIM(INVOICE!#REF!)</f>
        <v>#REF!</v>
      </c>
      <c r="C39" s="75" t="e">
        <f>TRIM(INVOICE!#REF!)</f>
        <v>#REF!</v>
      </c>
    </row>
    <row r="40" spans="1:3" ht="39.75" hidden="1" customHeight="1" x14ac:dyDescent="0.25">
      <c r="A40" s="29"/>
      <c r="B40" s="33" t="e">
        <f>TRIM(INVOICE!#REF!)</f>
        <v>#REF!</v>
      </c>
      <c r="C40" s="75" t="e">
        <f>TRIM(INVOICE!#REF!)</f>
        <v>#REF!</v>
      </c>
    </row>
    <row r="41" spans="1:3" ht="39.75" hidden="1" customHeight="1" x14ac:dyDescent="0.25">
      <c r="A41" s="29"/>
      <c r="B41" s="33" t="e">
        <f>TRIM(INVOICE!#REF!)</f>
        <v>#REF!</v>
      </c>
      <c r="C41" s="75" t="e">
        <f>TRIM(INVOICE!#REF!)</f>
        <v>#REF!</v>
      </c>
    </row>
    <row r="42" spans="1:3" ht="39.75" hidden="1" customHeight="1" x14ac:dyDescent="0.25">
      <c r="A42" s="29"/>
      <c r="B42" s="33" t="e">
        <f>TRIM(INVOICE!#REF!)</f>
        <v>#REF!</v>
      </c>
      <c r="C42" s="75" t="e">
        <f>TRIM(INVOICE!#REF!)</f>
        <v>#REF!</v>
      </c>
    </row>
    <row r="43" spans="1:3" ht="39.75" hidden="1" customHeight="1" x14ac:dyDescent="0.25">
      <c r="A43" s="29"/>
      <c r="B43" s="33" t="e">
        <f>TRIM(INVOICE!#REF!)</f>
        <v>#REF!</v>
      </c>
      <c r="C43" s="75" t="e">
        <f>TRIM(INVOICE!#REF!)</f>
        <v>#REF!</v>
      </c>
    </row>
    <row r="44" spans="1:3" ht="91.5" customHeight="1" x14ac:dyDescent="0.25">
      <c r="A44" s="29"/>
      <c r="B44" s="192"/>
      <c r="C44" s="193"/>
    </row>
    <row r="45" spans="1:3" ht="39.75" customHeight="1" x14ac:dyDescent="0.25">
      <c r="A45" s="28"/>
      <c r="B45" s="28"/>
      <c r="C45" s="73"/>
    </row>
    <row r="46" spans="1:3" ht="37.5" customHeight="1" x14ac:dyDescent="0.25">
      <c r="A46" s="28"/>
      <c r="B46" s="28"/>
      <c r="C46" s="73"/>
    </row>
    <row r="47" spans="1:3" ht="40.5" customHeight="1" thickBot="1" x14ac:dyDescent="0.3">
      <c r="A47" s="28"/>
      <c r="B47" s="28"/>
      <c r="C47" s="73"/>
    </row>
    <row r="48" spans="1:3" ht="75" customHeight="1" thickBot="1" x14ac:dyDescent="0.3">
      <c r="A48" s="28"/>
      <c r="B48" s="71"/>
      <c r="C48" s="72"/>
    </row>
    <row r="49" spans="1:3" ht="30" customHeight="1" x14ac:dyDescent="0.25">
      <c r="A49" s="29"/>
      <c r="B49" s="81" t="s">
        <v>18</v>
      </c>
      <c r="C49" s="82" t="str">
        <f>TRIM(INVOICE!$G$1)</f>
        <v>INAE1352/26</v>
      </c>
    </row>
    <row r="50" spans="1:3" ht="25" customHeight="1" x14ac:dyDescent="0.25">
      <c r="A50" s="29"/>
      <c r="B50" s="83" t="s">
        <v>19</v>
      </c>
      <c r="C50" s="84" t="str">
        <f>TRIM(INVOICE!$B$3)</f>
        <v>Nina Matalasova
Valeriia Polozova</v>
      </c>
    </row>
    <row r="51" spans="1:3" ht="25" customHeight="1" x14ac:dyDescent="0.25">
      <c r="A51" s="29"/>
      <c r="B51" s="83" t="s">
        <v>11</v>
      </c>
      <c r="C51" s="85" t="str">
        <f>TRIM(INVOICE!$E$25)</f>
        <v>Manaus</v>
      </c>
    </row>
    <row r="52" spans="1:3" ht="5" customHeight="1" x14ac:dyDescent="0.25">
      <c r="A52" s="29"/>
      <c r="B52" s="191"/>
      <c r="C52" s="188"/>
    </row>
    <row r="53" spans="1:3" ht="12.75" customHeight="1" thickBot="1" x14ac:dyDescent="0.3">
      <c r="A53" s="29"/>
      <c r="B53" s="32"/>
      <c r="C53" s="76"/>
    </row>
    <row r="54" spans="1:3" ht="30" customHeight="1" x14ac:dyDescent="0.35">
      <c r="A54" s="31"/>
      <c r="B54" s="184" t="s">
        <v>13</v>
      </c>
      <c r="C54" s="185"/>
    </row>
    <row r="55" spans="1:3" ht="25" customHeight="1" x14ac:dyDescent="0.25">
      <c r="A55" s="29"/>
      <c r="B55" s="86" t="str">
        <f>TRIM(INVOICE!A25)</f>
        <v>08-10.05.2026</v>
      </c>
      <c r="C55" s="84" t="str">
        <f>TRIM(INVOICE!B25)</f>
        <v>Evolucao Ecolodge Pakage 3d2n included transfers and tours in group with English guide, Meeting of the waters, inc Pink dolphins swimming</v>
      </c>
    </row>
    <row r="56" spans="1:3" ht="25" customHeight="1" x14ac:dyDescent="0.25">
      <c r="A56" s="29"/>
      <c r="B56" s="86" t="e">
        <f>TRIM(INVOICE!#REF!)</f>
        <v>#REF!</v>
      </c>
      <c r="C56" s="84" t="e">
        <f>TRIM(INVOICE!#REF!)</f>
        <v>#REF!</v>
      </c>
    </row>
    <row r="57" spans="1:3" ht="25" customHeight="1" x14ac:dyDescent="0.25">
      <c r="A57" s="94"/>
      <c r="B57" s="86" t="e">
        <f>TRIM(INVOICE!#REF!)</f>
        <v>#REF!</v>
      </c>
      <c r="C57" s="84" t="e">
        <f>TRIM(INVOICE!#REF!)</f>
        <v>#REF!</v>
      </c>
    </row>
    <row r="58" spans="1:3" ht="25" customHeight="1" x14ac:dyDescent="0.25">
      <c r="A58" s="94"/>
      <c r="B58" s="86" t="e">
        <f>TRIM(INVOICE!#REF!)</f>
        <v>#REF!</v>
      </c>
      <c r="C58" s="84" t="e">
        <f>TRIM(INVOICE!#REF!)</f>
        <v>#REF!</v>
      </c>
    </row>
    <row r="59" spans="1:3" ht="25" customHeight="1" x14ac:dyDescent="0.25">
      <c r="A59" s="94"/>
      <c r="B59" s="86" t="e">
        <f>TRIM(INVOICE!#REF!)</f>
        <v>#REF!</v>
      </c>
      <c r="C59" s="84" t="e">
        <f>TRIM(INVOICE!#REF!)</f>
        <v>#REF!</v>
      </c>
    </row>
    <row r="60" spans="1:3" ht="25" customHeight="1" x14ac:dyDescent="0.25">
      <c r="A60" s="94"/>
      <c r="B60" s="86" t="e">
        <f>TRIM(INVOICE!#REF!)</f>
        <v>#REF!</v>
      </c>
      <c r="C60" s="84" t="e">
        <f>TRIM(INVOICE!#REF!)</f>
        <v>#REF!</v>
      </c>
    </row>
    <row r="61" spans="1:3" ht="25" customHeight="1" x14ac:dyDescent="0.25">
      <c r="A61" s="29"/>
      <c r="B61" s="86" t="e">
        <f>TRIM(INVOICE!#REF!)</f>
        <v>#REF!</v>
      </c>
      <c r="C61" s="84" t="e">
        <f>TRIM(INVOICE!#REF!)</f>
        <v>#REF!</v>
      </c>
    </row>
    <row r="62" spans="1:3" ht="25" customHeight="1" x14ac:dyDescent="0.25">
      <c r="A62" s="29"/>
      <c r="B62" s="86" t="e">
        <f>TRIM(INVOICE!#REF!)</f>
        <v>#REF!</v>
      </c>
      <c r="C62" s="84" t="e">
        <f>TRIM(INVOICE!#REF!)</f>
        <v>#REF!</v>
      </c>
    </row>
    <row r="63" spans="1:3" ht="25" customHeight="1" x14ac:dyDescent="0.25">
      <c r="A63" s="29"/>
      <c r="B63" s="86" t="e">
        <f>TRIM(INVOICE!#REF!)</f>
        <v>#REF!</v>
      </c>
      <c r="C63" s="84" t="e">
        <f>TRIM(INVOICE!#REF!)</f>
        <v>#REF!</v>
      </c>
    </row>
    <row r="64" spans="1:3" ht="25" customHeight="1" thickBot="1" x14ac:dyDescent="0.3">
      <c r="A64" s="29"/>
      <c r="B64" s="89" t="e">
        <f>TRIM(INVOICE!#REF!)</f>
        <v>#REF!</v>
      </c>
      <c r="C64" s="90" t="e">
        <f>TRIM(INVOICE!#REF!)</f>
        <v>#REF!</v>
      </c>
    </row>
    <row r="65" spans="1:3" ht="37.5" customHeight="1" x14ac:dyDescent="0.25">
      <c r="A65" s="29"/>
      <c r="B65" s="34" t="e">
        <f>TRIM(INVOICE!#REF!)</f>
        <v>#REF!</v>
      </c>
      <c r="C65" s="75" t="e">
        <f>TRIM(INVOICE!#REF!)</f>
        <v>#REF!</v>
      </c>
    </row>
    <row r="66" spans="1:3" ht="37.5" customHeight="1" x14ac:dyDescent="0.25">
      <c r="A66" s="29"/>
      <c r="B66" s="34" t="e">
        <f>TRIM(INVOICE!#REF!)</f>
        <v>#REF!</v>
      </c>
      <c r="C66" s="75" t="e">
        <f>TRIM(INVOICE!#REF!)</f>
        <v>#REF!</v>
      </c>
    </row>
    <row r="67" spans="1:3" ht="37.5" customHeight="1" x14ac:dyDescent="0.25">
      <c r="A67" s="29"/>
      <c r="B67" s="34" t="e">
        <f>TRIM(INVOICE!#REF!)</f>
        <v>#REF!</v>
      </c>
      <c r="C67" s="75" t="e">
        <f>TRIM(INVOICE!#REF!)</f>
        <v>#REF!</v>
      </c>
    </row>
    <row r="68" spans="1:3" ht="37.5" customHeight="1" x14ac:dyDescent="0.25">
      <c r="A68" s="29"/>
      <c r="B68" s="34" t="e">
        <f>TRIM(INVOICE!#REF!)</f>
        <v>#REF!</v>
      </c>
      <c r="C68" s="75" t="e">
        <f>TRIM(INVOICE!#REF!)</f>
        <v>#REF!</v>
      </c>
    </row>
    <row r="69" spans="1:3" ht="39" customHeight="1" x14ac:dyDescent="0.25">
      <c r="A69" s="29"/>
      <c r="B69" s="189"/>
      <c r="C69" s="190"/>
    </row>
    <row r="70" spans="1:3" ht="12.75" customHeight="1" x14ac:dyDescent="0.25">
      <c r="A70" s="28"/>
      <c r="B70" s="28"/>
      <c r="C70" s="73"/>
    </row>
    <row r="71" spans="1:3" ht="48.75" customHeight="1" x14ac:dyDescent="0.25">
      <c r="A71" s="28"/>
      <c r="B71" s="28"/>
      <c r="C71" s="73"/>
    </row>
    <row r="72" spans="1:3" ht="49.5" customHeight="1" thickBot="1" x14ac:dyDescent="0.3">
      <c r="A72" s="28"/>
      <c r="B72" s="28"/>
      <c r="C72" s="73"/>
    </row>
    <row r="73" spans="1:3" ht="75" customHeight="1" thickBot="1" x14ac:dyDescent="0.3">
      <c r="A73" s="28"/>
      <c r="B73" s="71"/>
      <c r="C73" s="72"/>
    </row>
    <row r="74" spans="1:3" ht="30" customHeight="1" x14ac:dyDescent="0.25">
      <c r="A74" s="29"/>
      <c r="B74" s="81" t="s">
        <v>18</v>
      </c>
      <c r="C74" s="82" t="str">
        <f>TRIM(INVOICE!$G$1)</f>
        <v>INAE1352/26</v>
      </c>
    </row>
    <row r="75" spans="1:3" ht="25" customHeight="1" x14ac:dyDescent="0.25">
      <c r="A75" s="29"/>
      <c r="B75" s="83" t="s">
        <v>19</v>
      </c>
      <c r="C75" s="84" t="str">
        <f>TRIM(INVOICE!$B$3)</f>
        <v>Nina Matalasova
Valeriia Polozova</v>
      </c>
    </row>
    <row r="76" spans="1:3" ht="25" customHeight="1" x14ac:dyDescent="0.25">
      <c r="A76" s="29"/>
      <c r="B76" s="83" t="s">
        <v>11</v>
      </c>
      <c r="C76" s="85" t="str">
        <f>TRIM(INVOICE!$E$25)</f>
        <v>Manaus</v>
      </c>
    </row>
    <row r="77" spans="1:3" ht="5" customHeight="1" x14ac:dyDescent="0.25">
      <c r="A77" s="29"/>
      <c r="B77" s="191"/>
      <c r="C77" s="188"/>
    </row>
    <row r="78" spans="1:3" ht="12.75" customHeight="1" thickBot="1" x14ac:dyDescent="0.3">
      <c r="A78" s="29"/>
      <c r="B78" s="32"/>
      <c r="C78" s="76"/>
    </row>
    <row r="79" spans="1:3" ht="30" customHeight="1" x14ac:dyDescent="0.35">
      <c r="A79" s="31"/>
      <c r="B79" s="184" t="s">
        <v>13</v>
      </c>
      <c r="C79" s="185"/>
    </row>
    <row r="80" spans="1:3" ht="25" customHeight="1" x14ac:dyDescent="0.25">
      <c r="A80" s="29"/>
      <c r="B80" s="86" t="str">
        <f>TRIM(INVOICE!A25)</f>
        <v>08-10.05.2026</v>
      </c>
      <c r="C80" s="84" t="str">
        <f>TRIM(INVOICE!B25)</f>
        <v>Evolucao Ecolodge Pakage 3d2n included transfers and tours in group with English guide, Meeting of the waters, inc Pink dolphins swimming</v>
      </c>
    </row>
    <row r="81" spans="1:3" ht="25" customHeight="1" x14ac:dyDescent="0.25">
      <c r="A81" s="29"/>
      <c r="B81" s="86" t="e">
        <f>TRIM(INVOICE!#REF!)</f>
        <v>#REF!</v>
      </c>
      <c r="C81" s="84" t="e">
        <f>TRIM(INVOICE!#REF!)</f>
        <v>#REF!</v>
      </c>
    </row>
    <row r="82" spans="1:3" ht="25" customHeight="1" x14ac:dyDescent="0.25">
      <c r="A82" s="94"/>
      <c r="B82" s="86" t="e">
        <f>TRIM(INVOICE!#REF!)</f>
        <v>#REF!</v>
      </c>
      <c r="C82" s="84" t="e">
        <f>TRIM(INVOICE!#REF!)</f>
        <v>#REF!</v>
      </c>
    </row>
    <row r="83" spans="1:3" ht="25" customHeight="1" x14ac:dyDescent="0.25">
      <c r="A83" s="94"/>
      <c r="B83" s="86" t="e">
        <f>TRIM(INVOICE!#REF!)</f>
        <v>#REF!</v>
      </c>
      <c r="C83" s="84" t="e">
        <f>TRIM(INVOICE!#REF!)</f>
        <v>#REF!</v>
      </c>
    </row>
    <row r="84" spans="1:3" ht="25" customHeight="1" x14ac:dyDescent="0.25">
      <c r="A84" s="94"/>
      <c r="B84" s="86" t="e">
        <f>TRIM(INVOICE!#REF!)</f>
        <v>#REF!</v>
      </c>
      <c r="C84" s="84" t="e">
        <f>TRIM(INVOICE!#REF!)</f>
        <v>#REF!</v>
      </c>
    </row>
    <row r="85" spans="1:3" ht="25" customHeight="1" x14ac:dyDescent="0.25">
      <c r="A85" s="94"/>
      <c r="B85" s="86" t="e">
        <f>TRIM(INVOICE!#REF!)</f>
        <v>#REF!</v>
      </c>
      <c r="C85" s="84" t="e">
        <f>TRIM(INVOICE!#REF!)</f>
        <v>#REF!</v>
      </c>
    </row>
    <row r="86" spans="1:3" ht="25" customHeight="1" x14ac:dyDescent="0.25">
      <c r="A86" s="29"/>
      <c r="B86" s="86" t="e">
        <f>TRIM(INVOICE!#REF!)</f>
        <v>#REF!</v>
      </c>
      <c r="C86" s="84" t="e">
        <f>TRIM(INVOICE!#REF!)</f>
        <v>#REF!</v>
      </c>
    </row>
    <row r="87" spans="1:3" ht="25" customHeight="1" x14ac:dyDescent="0.25">
      <c r="A87" s="29"/>
      <c r="B87" s="86" t="e">
        <f>TRIM(INVOICE!#REF!)</f>
        <v>#REF!</v>
      </c>
      <c r="C87" s="84" t="e">
        <f>TRIM(INVOICE!#REF!)</f>
        <v>#REF!</v>
      </c>
    </row>
    <row r="88" spans="1:3" ht="25" customHeight="1" x14ac:dyDescent="0.25">
      <c r="A88" s="29"/>
      <c r="B88" s="86" t="e">
        <f>TRIM(INVOICE!#REF!)</f>
        <v>#REF!</v>
      </c>
      <c r="C88" s="84" t="e">
        <f>TRIM(INVOICE!#REF!)</f>
        <v>#REF!</v>
      </c>
    </row>
    <row r="89" spans="1:3" ht="25" customHeight="1" thickBot="1" x14ac:dyDescent="0.3">
      <c r="A89" s="29"/>
      <c r="B89" s="89" t="e">
        <f>TRIM(INVOICE!#REF!)</f>
        <v>#REF!</v>
      </c>
      <c r="C89" s="90" t="e">
        <f>TRIM(INVOICE!#REF!)</f>
        <v>#REF!</v>
      </c>
    </row>
    <row r="90" spans="1:3" ht="37.5" customHeight="1" x14ac:dyDescent="0.25">
      <c r="A90" s="29"/>
      <c r="B90" s="34" t="e">
        <f>TRIM(INVOICE!#REF!)</f>
        <v>#REF!</v>
      </c>
      <c r="C90" s="75" t="e">
        <f>TRIM(INVOICE!#REF!)</f>
        <v>#REF!</v>
      </c>
    </row>
    <row r="91" spans="1:3" ht="37.5" customHeight="1" x14ac:dyDescent="0.25">
      <c r="A91" s="29"/>
      <c r="B91" s="34" t="e">
        <f>TRIM(INVOICE!#REF!)</f>
        <v>#REF!</v>
      </c>
      <c r="C91" s="75" t="e">
        <f>TRIM(INVOICE!#REF!)</f>
        <v>#REF!</v>
      </c>
    </row>
    <row r="92" spans="1:3" ht="37.5" customHeight="1" x14ac:dyDescent="0.25">
      <c r="A92" s="29"/>
      <c r="B92" s="34" t="e">
        <f>TRIM(INVOICE!#REF!)</f>
        <v>#REF!</v>
      </c>
      <c r="C92" s="75" t="e">
        <f>TRIM(INVOICE!#REF!)</f>
        <v>#REF!</v>
      </c>
    </row>
    <row r="93" spans="1:3" ht="37.5" customHeight="1" x14ac:dyDescent="0.25">
      <c r="A93" s="29"/>
      <c r="B93" s="34"/>
      <c r="C93" s="75"/>
    </row>
    <row r="94" spans="1:3" ht="91.5" customHeight="1" x14ac:dyDescent="0.25">
      <c r="A94" s="29"/>
      <c r="B94" s="189"/>
      <c r="C94" s="190"/>
    </row>
    <row r="95" spans="1:3" ht="12.75" customHeight="1" x14ac:dyDescent="0.25">
      <c r="A95" s="28"/>
      <c r="B95" s="28"/>
      <c r="C95" s="73"/>
    </row>
    <row r="96" spans="1:3" ht="12.75" customHeight="1" x14ac:dyDescent="0.25">
      <c r="A96" s="28"/>
      <c r="B96" s="28"/>
      <c r="C96" s="73"/>
    </row>
    <row r="97" spans="1:3" ht="46.5" customHeight="1" x14ac:dyDescent="0.25">
      <c r="A97" s="28"/>
      <c r="B97" s="28"/>
      <c r="C97" s="73"/>
    </row>
    <row r="98" spans="1:3" ht="44.25" customHeight="1" thickBot="1" x14ac:dyDescent="0.3">
      <c r="A98" s="28"/>
      <c r="B98" s="28"/>
      <c r="C98" s="73"/>
    </row>
    <row r="99" spans="1:3" ht="75" customHeight="1" thickBot="1" x14ac:dyDescent="0.3">
      <c r="A99" s="28"/>
      <c r="B99" s="71"/>
      <c r="C99" s="72"/>
    </row>
    <row r="100" spans="1:3" ht="30" customHeight="1" x14ac:dyDescent="0.25">
      <c r="A100" s="29"/>
      <c r="B100" s="81" t="s">
        <v>18</v>
      </c>
      <c r="C100" s="82" t="str">
        <f>TRIM(INVOICE!$G$1)</f>
        <v>INAE1352/26</v>
      </c>
    </row>
    <row r="101" spans="1:3" ht="25" customHeight="1" x14ac:dyDescent="0.25">
      <c r="A101" s="29"/>
      <c r="B101" s="83" t="s">
        <v>19</v>
      </c>
      <c r="C101" s="84" t="str">
        <f>TRIM(INVOICE!$B$3)</f>
        <v>Nina Matalasova
Valeriia Polozova</v>
      </c>
    </row>
    <row r="102" spans="1:3" ht="25" customHeight="1" x14ac:dyDescent="0.25">
      <c r="A102" s="29"/>
      <c r="B102" s="83" t="s">
        <v>11</v>
      </c>
      <c r="C102" s="85" t="str">
        <f>TRIM(INVOICE!$E$25)</f>
        <v>Manaus</v>
      </c>
    </row>
    <row r="103" spans="1:3" ht="5" customHeight="1" x14ac:dyDescent="0.25">
      <c r="A103" s="29"/>
      <c r="B103" s="191"/>
      <c r="C103" s="188"/>
    </row>
    <row r="104" spans="1:3" ht="12.75" customHeight="1" thickBot="1" x14ac:dyDescent="0.3">
      <c r="A104" s="29"/>
      <c r="B104" s="32"/>
      <c r="C104" s="76"/>
    </row>
    <row r="105" spans="1:3" ht="30" customHeight="1" x14ac:dyDescent="0.35">
      <c r="A105" s="31"/>
      <c r="B105" s="184" t="s">
        <v>13</v>
      </c>
      <c r="C105" s="185"/>
    </row>
    <row r="106" spans="1:3" ht="25" customHeight="1" x14ac:dyDescent="0.25">
      <c r="A106" s="29"/>
      <c r="B106" s="86" t="str">
        <f>TRIM(INVOICE!A25)</f>
        <v>08-10.05.2026</v>
      </c>
      <c r="C106" s="84" t="str">
        <f>TRIM(INVOICE!B25)</f>
        <v>Evolucao Ecolodge Pakage 3d2n included transfers and tours in group with English guide, Meeting of the waters, inc Pink dolphins swimming</v>
      </c>
    </row>
    <row r="107" spans="1:3" ht="25" customHeight="1" x14ac:dyDescent="0.25">
      <c r="A107" s="29"/>
      <c r="B107" s="86" t="e">
        <f>TRIM(INVOICE!#REF!)</f>
        <v>#REF!</v>
      </c>
      <c r="C107" s="84" t="e">
        <f>TRIM(INVOICE!#REF!)</f>
        <v>#REF!</v>
      </c>
    </row>
    <row r="108" spans="1:3" ht="25" customHeight="1" x14ac:dyDescent="0.25">
      <c r="A108" s="94"/>
      <c r="B108" s="86" t="e">
        <f>TRIM(INVOICE!#REF!)</f>
        <v>#REF!</v>
      </c>
      <c r="C108" s="84" t="e">
        <f>TRIM(INVOICE!#REF!)</f>
        <v>#REF!</v>
      </c>
    </row>
    <row r="109" spans="1:3" ht="25" customHeight="1" x14ac:dyDescent="0.25">
      <c r="A109" s="94"/>
      <c r="B109" s="86" t="e">
        <f>TRIM(INVOICE!#REF!)</f>
        <v>#REF!</v>
      </c>
      <c r="C109" s="84" t="e">
        <f>TRIM(INVOICE!#REF!)</f>
        <v>#REF!</v>
      </c>
    </row>
    <row r="110" spans="1:3" ht="25" customHeight="1" x14ac:dyDescent="0.25">
      <c r="A110" s="94"/>
      <c r="B110" s="86" t="e">
        <f>TRIM(INVOICE!#REF!)</f>
        <v>#REF!</v>
      </c>
      <c r="C110" s="84" t="e">
        <f>TRIM(INVOICE!#REF!)</f>
        <v>#REF!</v>
      </c>
    </row>
    <row r="111" spans="1:3" ht="25" customHeight="1" x14ac:dyDescent="0.25">
      <c r="A111" s="94"/>
      <c r="B111" s="86" t="e">
        <f>TRIM(INVOICE!#REF!)</f>
        <v>#REF!</v>
      </c>
      <c r="C111" s="84" t="e">
        <f>TRIM(INVOICE!#REF!)</f>
        <v>#REF!</v>
      </c>
    </row>
    <row r="112" spans="1:3" ht="25" customHeight="1" x14ac:dyDescent="0.25">
      <c r="A112" s="29"/>
      <c r="B112" s="86" t="e">
        <f>TRIM(INVOICE!#REF!)</f>
        <v>#REF!</v>
      </c>
      <c r="C112" s="84" t="e">
        <f>TRIM(INVOICE!#REF!)</f>
        <v>#REF!</v>
      </c>
    </row>
    <row r="113" spans="1:3" ht="25" customHeight="1" x14ac:dyDescent="0.25">
      <c r="A113" s="29"/>
      <c r="B113" s="86" t="e">
        <f>TRIM(INVOICE!#REF!)</f>
        <v>#REF!</v>
      </c>
      <c r="C113" s="84" t="e">
        <f>TRIM(INVOICE!#REF!)</f>
        <v>#REF!</v>
      </c>
    </row>
    <row r="114" spans="1:3" ht="25" customHeight="1" x14ac:dyDescent="0.25">
      <c r="A114" s="29"/>
      <c r="B114" s="86" t="e">
        <f>TRIM(INVOICE!#REF!)</f>
        <v>#REF!</v>
      </c>
      <c r="C114" s="84" t="e">
        <f>TRIM(INVOICE!#REF!)</f>
        <v>#REF!</v>
      </c>
    </row>
    <row r="115" spans="1:3" ht="25" customHeight="1" thickBot="1" x14ac:dyDescent="0.3">
      <c r="A115" s="29"/>
      <c r="B115" s="89" t="e">
        <f>TRIM(INVOICE!#REF!)</f>
        <v>#REF!</v>
      </c>
      <c r="C115" s="90" t="e">
        <f>TRIM(INVOICE!#REF!)</f>
        <v>#REF!</v>
      </c>
    </row>
    <row r="116" spans="1:3" ht="37.5" customHeight="1" x14ac:dyDescent="0.25">
      <c r="A116" s="29"/>
      <c r="B116" s="35"/>
      <c r="C116" s="36" t="str">
        <f>TRIM(INVOICE!B28)</f>
        <v/>
      </c>
    </row>
    <row r="117" spans="1:3" ht="37.5" customHeight="1" x14ac:dyDescent="0.25">
      <c r="A117" s="29"/>
      <c r="B117" s="34"/>
      <c r="C117" s="75" t="str">
        <f>TRIM(INVOICE!B29)</f>
        <v/>
      </c>
    </row>
    <row r="118" spans="1:3" ht="37.5" customHeight="1" x14ac:dyDescent="0.25">
      <c r="A118" s="29"/>
      <c r="B118" s="34"/>
      <c r="C118" s="75" t="str">
        <f>TRIM(INVOICE!B30)</f>
        <v/>
      </c>
    </row>
    <row r="119" spans="1:3" ht="37.5" customHeight="1" x14ac:dyDescent="0.25">
      <c r="A119" s="29"/>
      <c r="B119" s="34" t="e">
        <f>TRIM(INVOICE!#REF!)</f>
        <v>#REF!</v>
      </c>
      <c r="C119" s="75" t="e">
        <f>TRIM(INVOICE!#REF!)</f>
        <v>#REF!</v>
      </c>
    </row>
    <row r="120" spans="1:3" ht="91.5" customHeight="1" x14ac:dyDescent="0.25">
      <c r="A120" s="29"/>
      <c r="B120" s="189"/>
      <c r="C120" s="190"/>
    </row>
    <row r="121" spans="1:3" ht="12.75" customHeight="1" x14ac:dyDescent="0.25">
      <c r="A121" s="28"/>
      <c r="B121" s="28"/>
      <c r="C121" s="73"/>
    </row>
    <row r="122" spans="1:3" ht="12.75" customHeight="1" x14ac:dyDescent="0.25">
      <c r="A122" s="28"/>
      <c r="B122" s="28"/>
      <c r="C122" s="73"/>
    </row>
    <row r="123" spans="1:3" ht="45" customHeight="1" x14ac:dyDescent="0.25">
      <c r="A123" s="28"/>
      <c r="B123" s="28"/>
      <c r="C123" s="73"/>
    </row>
    <row r="124" spans="1:3" ht="49.5" customHeight="1" thickBot="1" x14ac:dyDescent="0.3">
      <c r="A124" s="28"/>
      <c r="B124" s="28"/>
      <c r="C124" s="73"/>
    </row>
    <row r="125" spans="1:3" ht="75" customHeight="1" thickBot="1" x14ac:dyDescent="0.3">
      <c r="A125" s="28"/>
      <c r="B125" s="71"/>
      <c r="C125" s="72"/>
    </row>
    <row r="126" spans="1:3" ht="30" customHeight="1" x14ac:dyDescent="0.25">
      <c r="A126" s="29"/>
      <c r="B126" s="81" t="s">
        <v>18</v>
      </c>
      <c r="C126" s="82" t="str">
        <f>TRIM(INVOICE!$G$1)</f>
        <v>INAE1352/26</v>
      </c>
    </row>
    <row r="127" spans="1:3" ht="25" customHeight="1" x14ac:dyDescent="0.25">
      <c r="A127" s="29"/>
      <c r="B127" s="83" t="s">
        <v>19</v>
      </c>
      <c r="C127" s="84" t="str">
        <f>TRIM(INVOICE!$B$3)</f>
        <v>Nina Matalasova
Valeriia Polozova</v>
      </c>
    </row>
    <row r="128" spans="1:3" ht="25" customHeight="1" x14ac:dyDescent="0.25">
      <c r="A128" s="29"/>
      <c r="B128" s="83" t="s">
        <v>11</v>
      </c>
      <c r="C128" s="85" t="str">
        <f>TRIM(INVOICE!$E$25)</f>
        <v>Manaus</v>
      </c>
    </row>
    <row r="129" spans="1:3" ht="5" customHeight="1" x14ac:dyDescent="0.25">
      <c r="A129" s="29"/>
      <c r="B129" s="191"/>
      <c r="C129" s="188"/>
    </row>
    <row r="130" spans="1:3" ht="12.75" customHeight="1" thickBot="1" x14ac:dyDescent="0.3">
      <c r="A130" s="29"/>
      <c r="B130" s="32"/>
      <c r="C130" s="76"/>
    </row>
    <row r="131" spans="1:3" ht="30" customHeight="1" x14ac:dyDescent="0.35">
      <c r="A131" s="31"/>
      <c r="B131" s="184" t="s">
        <v>13</v>
      </c>
      <c r="C131" s="185"/>
    </row>
    <row r="132" spans="1:3" ht="25" customHeight="1" x14ac:dyDescent="0.25">
      <c r="A132" s="29"/>
      <c r="B132" s="86" t="str">
        <f>TRIM(INVOICE!A25)</f>
        <v>08-10.05.2026</v>
      </c>
      <c r="C132" s="84" t="str">
        <f>TRIM(INVOICE!B25)</f>
        <v>Evolucao Ecolodge Pakage 3d2n included transfers and tours in group with English guide, Meeting of the waters, inc Pink dolphins swimming</v>
      </c>
    </row>
    <row r="133" spans="1:3" ht="25" customHeight="1" x14ac:dyDescent="0.25">
      <c r="A133" s="29"/>
      <c r="B133" s="86" t="e">
        <f>TRIM(INVOICE!#REF!)</f>
        <v>#REF!</v>
      </c>
      <c r="C133" s="84" t="e">
        <f>TRIM(INVOICE!#REF!)</f>
        <v>#REF!</v>
      </c>
    </row>
    <row r="134" spans="1:3" ht="25" customHeight="1" x14ac:dyDescent="0.25">
      <c r="A134" s="94"/>
      <c r="B134" s="86" t="e">
        <f>TRIM(INVOICE!#REF!)</f>
        <v>#REF!</v>
      </c>
      <c r="C134" s="84" t="e">
        <f>TRIM(INVOICE!#REF!)</f>
        <v>#REF!</v>
      </c>
    </row>
    <row r="135" spans="1:3" ht="25" customHeight="1" x14ac:dyDescent="0.25">
      <c r="A135" s="94"/>
      <c r="B135" s="86" t="e">
        <f>TRIM(INVOICE!#REF!)</f>
        <v>#REF!</v>
      </c>
      <c r="C135" s="84" t="e">
        <f>TRIM(INVOICE!#REF!)</f>
        <v>#REF!</v>
      </c>
    </row>
    <row r="136" spans="1:3" ht="25" customHeight="1" x14ac:dyDescent="0.25">
      <c r="A136" s="94"/>
      <c r="B136" s="86" t="e">
        <f>TRIM(INVOICE!#REF!)</f>
        <v>#REF!</v>
      </c>
      <c r="C136" s="84" t="e">
        <f>TRIM(INVOICE!#REF!)</f>
        <v>#REF!</v>
      </c>
    </row>
    <row r="137" spans="1:3" ht="25" customHeight="1" x14ac:dyDescent="0.25">
      <c r="A137" s="94"/>
      <c r="B137" s="86" t="e">
        <f>TRIM(INVOICE!#REF!)</f>
        <v>#REF!</v>
      </c>
      <c r="C137" s="84" t="e">
        <f>TRIM(INVOICE!#REF!)</f>
        <v>#REF!</v>
      </c>
    </row>
    <row r="138" spans="1:3" ht="25" customHeight="1" x14ac:dyDescent="0.25">
      <c r="A138" s="29"/>
      <c r="B138" s="86" t="e">
        <f>TRIM(INVOICE!#REF!)</f>
        <v>#REF!</v>
      </c>
      <c r="C138" s="84" t="e">
        <f>TRIM(INVOICE!#REF!)</f>
        <v>#REF!</v>
      </c>
    </row>
    <row r="139" spans="1:3" ht="25" customHeight="1" x14ac:dyDescent="0.25">
      <c r="A139" s="29"/>
      <c r="B139" s="86" t="e">
        <f>TRIM(INVOICE!#REF!)</f>
        <v>#REF!</v>
      </c>
      <c r="C139" s="84" t="e">
        <f>TRIM(INVOICE!#REF!)</f>
        <v>#REF!</v>
      </c>
    </row>
    <row r="140" spans="1:3" ht="25" customHeight="1" x14ac:dyDescent="0.25">
      <c r="A140" s="29"/>
      <c r="B140" s="86" t="e">
        <f>TRIM(INVOICE!#REF!)</f>
        <v>#REF!</v>
      </c>
      <c r="C140" s="84" t="e">
        <f>TRIM(INVOICE!#REF!)</f>
        <v>#REF!</v>
      </c>
    </row>
    <row r="141" spans="1:3" ht="25" customHeight="1" thickBot="1" x14ac:dyDescent="0.3">
      <c r="A141" s="29"/>
      <c r="B141" s="89" t="e">
        <f>TRIM(INVOICE!#REF!)</f>
        <v>#REF!</v>
      </c>
      <c r="C141" s="90" t="e">
        <f>TRIM(INVOICE!#REF!)</f>
        <v>#REF!</v>
      </c>
    </row>
    <row r="142" spans="1:3" ht="37.5" customHeight="1" x14ac:dyDescent="0.25">
      <c r="A142" s="29"/>
      <c r="B142" s="35" t="e">
        <f>TRIM(INVOICE!#REF!)</f>
        <v>#REF!</v>
      </c>
      <c r="C142" s="36" t="e">
        <f>TRIM(INVOICE!#REF!)</f>
        <v>#REF!</v>
      </c>
    </row>
    <row r="143" spans="1:3" ht="37.5" customHeight="1" x14ac:dyDescent="0.25">
      <c r="A143" s="29"/>
      <c r="B143" s="34" t="e">
        <f>TRIM(INVOICE!#REF!)</f>
        <v>#REF!</v>
      </c>
      <c r="C143" s="75" t="e">
        <f>TRIM(INVOICE!#REF!)</f>
        <v>#REF!</v>
      </c>
    </row>
    <row r="144" spans="1:3" ht="37.5" customHeight="1" x14ac:dyDescent="0.25">
      <c r="A144" s="29"/>
      <c r="B144" s="34" t="e">
        <f>TRIM(INVOICE!#REF!)</f>
        <v>#REF!</v>
      </c>
      <c r="C144" s="75" t="e">
        <f>TRIM(INVOICE!#REF!)</f>
        <v>#REF!</v>
      </c>
    </row>
    <row r="145" spans="1:3" ht="37.5" customHeight="1" x14ac:dyDescent="0.25">
      <c r="A145" s="29"/>
      <c r="B145" s="34" t="e">
        <f>TRIM(INVOICE!#REF!)</f>
        <v>#REF!</v>
      </c>
      <c r="C145" s="75" t="e">
        <f>TRIM(INVOICE!#REF!)</f>
        <v>#REF!</v>
      </c>
    </row>
    <row r="146" spans="1:3" ht="91.5" customHeight="1" x14ac:dyDescent="0.25">
      <c r="A146" s="29"/>
      <c r="B146" s="189"/>
      <c r="C146" s="190"/>
    </row>
    <row r="147" spans="1:3" ht="12.75" customHeight="1" x14ac:dyDescent="0.25">
      <c r="A147" s="28"/>
      <c r="B147" s="28"/>
      <c r="C147" s="73"/>
    </row>
    <row r="148" spans="1:3" ht="12.75" customHeight="1" x14ac:dyDescent="0.25">
      <c r="A148" s="28"/>
      <c r="B148" s="28"/>
      <c r="C148" s="73"/>
    </row>
    <row r="149" spans="1:3" ht="51.75" customHeight="1" x14ac:dyDescent="0.25">
      <c r="A149" s="28"/>
      <c r="B149" s="28"/>
      <c r="C149" s="73"/>
    </row>
    <row r="150" spans="1:3" ht="52.5" customHeight="1" thickBot="1" x14ac:dyDescent="0.3">
      <c r="A150" s="28"/>
      <c r="B150" s="28"/>
      <c r="C150" s="73"/>
    </row>
    <row r="151" spans="1:3" ht="75" customHeight="1" thickBot="1" x14ac:dyDescent="0.3">
      <c r="A151" s="28"/>
      <c r="B151" s="71"/>
      <c r="C151" s="72"/>
    </row>
    <row r="152" spans="1:3" ht="30" customHeight="1" x14ac:dyDescent="0.25">
      <c r="A152" s="29"/>
      <c r="B152" s="81" t="s">
        <v>18</v>
      </c>
      <c r="C152" s="82" t="str">
        <f>TRIM(INVOICE!$G$1)</f>
        <v>INAE1352/26</v>
      </c>
    </row>
    <row r="153" spans="1:3" ht="25" customHeight="1" x14ac:dyDescent="0.25">
      <c r="A153" s="29"/>
      <c r="B153" s="83" t="s">
        <v>19</v>
      </c>
      <c r="C153" s="84" t="str">
        <f>TRIM(INVOICE!$B$3)</f>
        <v>Nina Matalasova
Valeriia Polozova</v>
      </c>
    </row>
    <row r="154" spans="1:3" ht="25" customHeight="1" x14ac:dyDescent="0.25">
      <c r="A154" s="29"/>
      <c r="B154" s="83" t="s">
        <v>11</v>
      </c>
      <c r="C154" s="85" t="str">
        <f>TRIM(INVOICE!$E$25)</f>
        <v>Manaus</v>
      </c>
    </row>
    <row r="155" spans="1:3" ht="5" customHeight="1" x14ac:dyDescent="0.25">
      <c r="A155" s="29"/>
      <c r="B155" s="191"/>
      <c r="C155" s="188"/>
    </row>
    <row r="156" spans="1:3" ht="12.75" customHeight="1" thickBot="1" x14ac:dyDescent="0.3">
      <c r="A156" s="29"/>
      <c r="B156" s="32"/>
      <c r="C156" s="76"/>
    </row>
    <row r="157" spans="1:3" ht="30" customHeight="1" x14ac:dyDescent="0.35">
      <c r="A157" s="31"/>
      <c r="B157" s="184" t="s">
        <v>13</v>
      </c>
      <c r="C157" s="185"/>
    </row>
    <row r="158" spans="1:3" ht="25" customHeight="1" x14ac:dyDescent="0.25">
      <c r="A158" s="29"/>
      <c r="B158" s="86" t="str">
        <f>TRIM(INVOICE!A25)</f>
        <v>08-10.05.2026</v>
      </c>
      <c r="C158" s="84" t="str">
        <f>TRIM(INVOICE!B25)</f>
        <v>Evolucao Ecolodge Pakage 3d2n included transfers and tours in group with English guide, Meeting of the waters, inc Pink dolphins swimming</v>
      </c>
    </row>
    <row r="159" spans="1:3" ht="25" customHeight="1" x14ac:dyDescent="0.25">
      <c r="A159" s="29"/>
      <c r="B159" s="86" t="e">
        <f>TRIM(INVOICE!#REF!)</f>
        <v>#REF!</v>
      </c>
      <c r="C159" s="84" t="e">
        <f>TRIM(INVOICE!#REF!)</f>
        <v>#REF!</v>
      </c>
    </row>
    <row r="160" spans="1:3" ht="25" customHeight="1" x14ac:dyDescent="0.25">
      <c r="A160" s="94"/>
      <c r="B160" s="86" t="e">
        <f>TRIM(INVOICE!#REF!)</f>
        <v>#REF!</v>
      </c>
      <c r="C160" s="84" t="e">
        <f>TRIM(INVOICE!#REF!)</f>
        <v>#REF!</v>
      </c>
    </row>
    <row r="161" spans="1:3" ht="25" customHeight="1" x14ac:dyDescent="0.25">
      <c r="A161" s="94"/>
      <c r="B161" s="86" t="e">
        <f>TRIM(INVOICE!#REF!)</f>
        <v>#REF!</v>
      </c>
      <c r="C161" s="84" t="e">
        <f>TRIM(INVOICE!#REF!)</f>
        <v>#REF!</v>
      </c>
    </row>
    <row r="162" spans="1:3" ht="25" customHeight="1" x14ac:dyDescent="0.25">
      <c r="A162" s="94"/>
      <c r="B162" s="86" t="e">
        <f>TRIM(INVOICE!#REF!)</f>
        <v>#REF!</v>
      </c>
      <c r="C162" s="84" t="e">
        <f>TRIM(INVOICE!#REF!)</f>
        <v>#REF!</v>
      </c>
    </row>
    <row r="163" spans="1:3" ht="25" customHeight="1" x14ac:dyDescent="0.25">
      <c r="A163" s="94"/>
      <c r="B163" s="86" t="e">
        <f>TRIM(INVOICE!#REF!)</f>
        <v>#REF!</v>
      </c>
      <c r="C163" s="84" t="e">
        <f>TRIM(INVOICE!#REF!)</f>
        <v>#REF!</v>
      </c>
    </row>
    <row r="164" spans="1:3" ht="25" customHeight="1" x14ac:dyDescent="0.25">
      <c r="A164" s="29"/>
      <c r="B164" s="86" t="e">
        <f>TRIM(INVOICE!#REF!)</f>
        <v>#REF!</v>
      </c>
      <c r="C164" s="84" t="e">
        <f>TRIM(INVOICE!#REF!)</f>
        <v>#REF!</v>
      </c>
    </row>
    <row r="165" spans="1:3" ht="25" customHeight="1" x14ac:dyDescent="0.25">
      <c r="A165" s="29"/>
      <c r="B165" s="86" t="e">
        <f>TRIM(INVOICE!#REF!)</f>
        <v>#REF!</v>
      </c>
      <c r="C165" s="84" t="e">
        <f>TRIM(INVOICE!#REF!)</f>
        <v>#REF!</v>
      </c>
    </row>
    <row r="166" spans="1:3" ht="25" customHeight="1" x14ac:dyDescent="0.25">
      <c r="A166" s="29"/>
      <c r="B166" s="86" t="e">
        <f>TRIM(INVOICE!#REF!)</f>
        <v>#REF!</v>
      </c>
      <c r="C166" s="84" t="e">
        <f>TRIM(INVOICE!#REF!)</f>
        <v>#REF!</v>
      </c>
    </row>
    <row r="167" spans="1:3" ht="25" customHeight="1" thickBot="1" x14ac:dyDescent="0.3">
      <c r="A167" s="29"/>
      <c r="B167" s="89" t="e">
        <f>TRIM(INVOICE!#REF!)</f>
        <v>#REF!</v>
      </c>
      <c r="C167" s="90" t="e">
        <f>TRIM(INVOICE!#REF!)</f>
        <v>#REF!</v>
      </c>
    </row>
    <row r="168" spans="1:3" ht="37.5" customHeight="1" x14ac:dyDescent="0.25">
      <c r="A168" s="29"/>
      <c r="B168" s="35" t="e">
        <f>TRIM(INVOICE!#REF!)</f>
        <v>#REF!</v>
      </c>
      <c r="C168" s="36" t="e">
        <f>TRIM(INVOICE!#REF!)</f>
        <v>#REF!</v>
      </c>
    </row>
    <row r="169" spans="1:3" ht="37.5" customHeight="1" x14ac:dyDescent="0.25">
      <c r="A169" s="29"/>
      <c r="B169" s="34" t="e">
        <f>TRIM(INVOICE!#REF!)</f>
        <v>#REF!</v>
      </c>
      <c r="C169" s="75" t="e">
        <f>TRIM(INVOICE!#REF!)</f>
        <v>#REF!</v>
      </c>
    </row>
    <row r="170" spans="1:3" ht="37.5" customHeight="1" x14ac:dyDescent="0.25">
      <c r="A170" s="29"/>
      <c r="B170" s="34" t="e">
        <f>TRIM(INVOICE!#REF!)</f>
        <v>#REF!</v>
      </c>
      <c r="C170" s="75" t="e">
        <f>TRIM(INVOICE!#REF!)</f>
        <v>#REF!</v>
      </c>
    </row>
    <row r="171" spans="1:3" ht="37.5" customHeight="1" x14ac:dyDescent="0.25">
      <c r="A171" s="29"/>
      <c r="B171" s="34" t="e">
        <f>TRIM(INVOICE!#REF!)</f>
        <v>#REF!</v>
      </c>
      <c r="C171" s="75" t="e">
        <f>TRIM(INVOICE!#REF!)</f>
        <v>#REF!</v>
      </c>
    </row>
    <row r="172" spans="1:3" ht="91.5" customHeight="1" x14ac:dyDescent="0.25">
      <c r="A172" s="29"/>
      <c r="B172" s="189"/>
      <c r="C172" s="190"/>
    </row>
    <row r="173" spans="1:3" ht="12.75" customHeight="1" x14ac:dyDescent="0.25">
      <c r="A173" s="28"/>
      <c r="B173" s="28"/>
      <c r="C173" s="73"/>
    </row>
    <row r="174" spans="1:3" ht="12.75" customHeight="1" x14ac:dyDescent="0.25">
      <c r="A174" s="28"/>
      <c r="B174" s="28"/>
      <c r="C174" s="73"/>
    </row>
    <row r="175" spans="1:3" ht="54.75" customHeight="1" x14ac:dyDescent="0.25">
      <c r="A175" s="28"/>
      <c r="B175" s="28"/>
      <c r="C175" s="73"/>
    </row>
    <row r="176" spans="1:3" ht="48.75" customHeight="1" thickBot="1" x14ac:dyDescent="0.3">
      <c r="A176" s="28"/>
      <c r="B176" s="28"/>
      <c r="C176" s="73"/>
    </row>
    <row r="177" spans="1:3" ht="75" customHeight="1" thickBot="1" x14ac:dyDescent="0.3">
      <c r="A177" s="28"/>
      <c r="B177" s="71"/>
      <c r="C177" s="72"/>
    </row>
    <row r="178" spans="1:3" ht="30" customHeight="1" x14ac:dyDescent="0.25">
      <c r="A178" s="29"/>
      <c r="B178" s="81" t="s">
        <v>18</v>
      </c>
      <c r="C178" s="82" t="str">
        <f>TRIM(INVOICE!$G$1)</f>
        <v>INAE1352/26</v>
      </c>
    </row>
    <row r="179" spans="1:3" ht="25" customHeight="1" x14ac:dyDescent="0.25">
      <c r="A179" s="29"/>
      <c r="B179" s="83" t="s">
        <v>19</v>
      </c>
      <c r="C179" s="84" t="str">
        <f>TRIM(INVOICE!$B$3)</f>
        <v>Nina Matalasova
Valeriia Polozova</v>
      </c>
    </row>
    <row r="180" spans="1:3" ht="25" customHeight="1" x14ac:dyDescent="0.25">
      <c r="A180" s="29"/>
      <c r="B180" s="83" t="s">
        <v>11</v>
      </c>
      <c r="C180" s="85" t="str">
        <f>TRIM(INVOICE!$E$25)</f>
        <v>Manaus</v>
      </c>
    </row>
    <row r="181" spans="1:3" ht="5" customHeight="1" x14ac:dyDescent="0.25">
      <c r="A181" s="29"/>
      <c r="B181" s="191"/>
      <c r="C181" s="188"/>
    </row>
    <row r="182" spans="1:3" ht="12.75" customHeight="1" thickBot="1" x14ac:dyDescent="0.3">
      <c r="A182" s="29"/>
      <c r="B182" s="32"/>
      <c r="C182" s="76"/>
    </row>
    <row r="183" spans="1:3" ht="30" customHeight="1" x14ac:dyDescent="0.35">
      <c r="A183" s="31"/>
      <c r="B183" s="184" t="s">
        <v>13</v>
      </c>
      <c r="C183" s="185"/>
    </row>
    <row r="184" spans="1:3" ht="25" customHeight="1" x14ac:dyDescent="0.25">
      <c r="A184" s="29"/>
      <c r="B184" s="86" t="str">
        <f>TRIM(INVOICE!A25)</f>
        <v>08-10.05.2026</v>
      </c>
      <c r="C184" s="84" t="str">
        <f>TRIM(INVOICE!B25)</f>
        <v>Evolucao Ecolodge Pakage 3d2n included transfers and tours in group with English guide, Meeting of the waters, inc Pink dolphins swimming</v>
      </c>
    </row>
    <row r="185" spans="1:3" ht="25" customHeight="1" x14ac:dyDescent="0.25">
      <c r="A185" s="29"/>
      <c r="B185" s="86" t="e">
        <f>TRIM(INVOICE!#REF!)</f>
        <v>#REF!</v>
      </c>
      <c r="C185" s="84" t="e">
        <f>TRIM(INVOICE!#REF!)</f>
        <v>#REF!</v>
      </c>
    </row>
    <row r="186" spans="1:3" ht="25" customHeight="1" x14ac:dyDescent="0.25">
      <c r="A186" s="94"/>
      <c r="B186" s="86" t="e">
        <f>TRIM(INVOICE!#REF!)</f>
        <v>#REF!</v>
      </c>
      <c r="C186" s="84" t="e">
        <f>TRIM(INVOICE!#REF!)</f>
        <v>#REF!</v>
      </c>
    </row>
    <row r="187" spans="1:3" ht="25" customHeight="1" x14ac:dyDescent="0.25">
      <c r="A187" s="94"/>
      <c r="B187" s="86" t="e">
        <f>TRIM(INVOICE!#REF!)</f>
        <v>#REF!</v>
      </c>
      <c r="C187" s="84" t="e">
        <f>TRIM(INVOICE!#REF!)</f>
        <v>#REF!</v>
      </c>
    </row>
    <row r="188" spans="1:3" ht="25" customHeight="1" x14ac:dyDescent="0.25">
      <c r="A188" s="94"/>
      <c r="B188" s="86" t="e">
        <f>TRIM(INVOICE!#REF!)</f>
        <v>#REF!</v>
      </c>
      <c r="C188" s="84" t="e">
        <f>TRIM(INVOICE!#REF!)</f>
        <v>#REF!</v>
      </c>
    </row>
    <row r="189" spans="1:3" ht="25" customHeight="1" x14ac:dyDescent="0.25">
      <c r="A189" s="94"/>
      <c r="B189" s="86" t="e">
        <f>TRIM(INVOICE!#REF!)</f>
        <v>#REF!</v>
      </c>
      <c r="C189" s="84" t="e">
        <f>TRIM(INVOICE!#REF!)</f>
        <v>#REF!</v>
      </c>
    </row>
    <row r="190" spans="1:3" ht="25" customHeight="1" x14ac:dyDescent="0.25">
      <c r="A190" s="29"/>
      <c r="B190" s="86" t="e">
        <f>TRIM(INVOICE!#REF!)</f>
        <v>#REF!</v>
      </c>
      <c r="C190" s="84" t="e">
        <f>TRIM(INVOICE!#REF!)</f>
        <v>#REF!</v>
      </c>
    </row>
    <row r="191" spans="1:3" ht="25" customHeight="1" x14ac:dyDescent="0.25">
      <c r="A191" s="29"/>
      <c r="B191" s="86" t="e">
        <f>TRIM(INVOICE!#REF!)</f>
        <v>#REF!</v>
      </c>
      <c r="C191" s="84" t="e">
        <f>TRIM(INVOICE!#REF!)</f>
        <v>#REF!</v>
      </c>
    </row>
    <row r="192" spans="1:3" ht="25" customHeight="1" x14ac:dyDescent="0.25">
      <c r="A192" s="29"/>
      <c r="B192" s="86" t="e">
        <f>TRIM(INVOICE!#REF!)</f>
        <v>#REF!</v>
      </c>
      <c r="C192" s="84" t="e">
        <f>TRIM(INVOICE!#REF!)</f>
        <v>#REF!</v>
      </c>
    </row>
    <row r="193" spans="1:3" ht="25" customHeight="1" thickBot="1" x14ac:dyDescent="0.3">
      <c r="A193" s="29"/>
      <c r="B193" s="89" t="e">
        <f>TRIM(INVOICE!#REF!)</f>
        <v>#REF!</v>
      </c>
      <c r="C193" s="90" t="e">
        <f>TRIM(INVOICE!#REF!)</f>
        <v>#REF!</v>
      </c>
    </row>
    <row r="194" spans="1:3" ht="37.5" customHeight="1" x14ac:dyDescent="0.25">
      <c r="A194" s="29"/>
      <c r="B194" s="35" t="e">
        <f>TRIM(INVOICE!#REF!)</f>
        <v>#REF!</v>
      </c>
      <c r="C194" s="36" t="e">
        <f>TRIM(INVOICE!#REF!)</f>
        <v>#REF!</v>
      </c>
    </row>
    <row r="195" spans="1:3" ht="37.5" customHeight="1" x14ac:dyDescent="0.25">
      <c r="A195" s="29"/>
      <c r="B195" s="34" t="e">
        <f>TRIM(INVOICE!#REF!)</f>
        <v>#REF!</v>
      </c>
      <c r="C195" s="75" t="e">
        <f>TRIM(INVOICE!#REF!)</f>
        <v>#REF!</v>
      </c>
    </row>
    <row r="196" spans="1:3" ht="37.5" customHeight="1" x14ac:dyDescent="0.25">
      <c r="A196" s="29"/>
      <c r="B196" s="34" t="e">
        <f>TRIM(INVOICE!#REF!)</f>
        <v>#REF!</v>
      </c>
      <c r="C196" s="75" t="e">
        <f>TRIM(INVOICE!#REF!)</f>
        <v>#REF!</v>
      </c>
    </row>
    <row r="197" spans="1:3" ht="37.5" customHeight="1" x14ac:dyDescent="0.25">
      <c r="A197" s="29"/>
      <c r="B197" s="34" t="e">
        <f>TRIM(INVOICE!#REF!)</f>
        <v>#REF!</v>
      </c>
      <c r="C197" s="75" t="e">
        <f>TRIM(INVOICE!#REF!)</f>
        <v>#REF!</v>
      </c>
    </row>
    <row r="198" spans="1:3" ht="91.5" customHeight="1" x14ac:dyDescent="0.25">
      <c r="A198" s="29"/>
      <c r="B198" s="189"/>
      <c r="C198" s="190"/>
    </row>
    <row r="199" spans="1:3" ht="12.75" customHeight="1" x14ac:dyDescent="0.25">
      <c r="A199" s="28"/>
      <c r="B199" s="28"/>
      <c r="C199" s="73"/>
    </row>
    <row r="200" spans="1:3" ht="12.75" customHeight="1" x14ac:dyDescent="0.25">
      <c r="A200" s="28"/>
      <c r="B200" s="28"/>
      <c r="C200" s="73"/>
    </row>
    <row r="201" spans="1:3" ht="12.75" customHeight="1" x14ac:dyDescent="0.25">
      <c r="A201" s="28"/>
      <c r="B201" s="28"/>
      <c r="C201" s="73"/>
    </row>
    <row r="202" spans="1:3" ht="46.5" customHeight="1" x14ac:dyDescent="0.25">
      <c r="A202" s="28"/>
      <c r="B202" s="28"/>
      <c r="C202" s="73"/>
    </row>
    <row r="203" spans="1:3" ht="46.5" customHeight="1" thickBot="1" x14ac:dyDescent="0.3">
      <c r="A203" s="28"/>
      <c r="B203" s="28"/>
      <c r="C203" s="73"/>
    </row>
    <row r="204" spans="1:3" ht="75" customHeight="1" thickBot="1" x14ac:dyDescent="0.3">
      <c r="A204" s="28"/>
      <c r="B204" s="71"/>
      <c r="C204" s="72"/>
    </row>
    <row r="205" spans="1:3" ht="30" customHeight="1" x14ac:dyDescent="0.25">
      <c r="A205" s="29"/>
      <c r="B205" s="81" t="s">
        <v>18</v>
      </c>
      <c r="C205" s="82" t="str">
        <f>TRIM(INVOICE!$G$1)</f>
        <v>INAE1352/26</v>
      </c>
    </row>
    <row r="206" spans="1:3" ht="25" customHeight="1" x14ac:dyDescent="0.25">
      <c r="A206" s="29"/>
      <c r="B206" s="83" t="s">
        <v>19</v>
      </c>
      <c r="C206" s="84" t="str">
        <f>TRIM(INVOICE!$B$3)</f>
        <v>Nina Matalasova
Valeriia Polozova</v>
      </c>
    </row>
    <row r="207" spans="1:3" ht="25" customHeight="1" x14ac:dyDescent="0.25">
      <c r="A207" s="29"/>
      <c r="B207" s="83" t="s">
        <v>11</v>
      </c>
      <c r="C207" s="85" t="str">
        <f>TRIM(INVOICE!$E$25)</f>
        <v>Manaus</v>
      </c>
    </row>
    <row r="208" spans="1:3" ht="5" customHeight="1" x14ac:dyDescent="0.25">
      <c r="A208" s="29"/>
      <c r="B208" s="191"/>
      <c r="C208" s="188"/>
    </row>
    <row r="209" spans="1:3" ht="12.75" customHeight="1" thickBot="1" x14ac:dyDescent="0.3">
      <c r="A209" s="29"/>
      <c r="B209" s="32"/>
      <c r="C209" s="76"/>
    </row>
    <row r="210" spans="1:3" ht="30" customHeight="1" x14ac:dyDescent="0.35">
      <c r="A210" s="31"/>
      <c r="B210" s="184" t="s">
        <v>13</v>
      </c>
      <c r="C210" s="185"/>
    </row>
    <row r="211" spans="1:3" ht="25" customHeight="1" x14ac:dyDescent="0.25">
      <c r="A211" s="29"/>
      <c r="B211" s="86" t="str">
        <f>TRIM(INVOICE!A25)</f>
        <v>08-10.05.2026</v>
      </c>
      <c r="C211" s="84" t="str">
        <f>TRIM(INVOICE!B25)</f>
        <v>Evolucao Ecolodge Pakage 3d2n included transfers and tours in group with English guide, Meeting of the waters, inc Pink dolphins swimming</v>
      </c>
    </row>
    <row r="212" spans="1:3" ht="25" customHeight="1" x14ac:dyDescent="0.25">
      <c r="A212" s="94"/>
      <c r="B212" s="86" t="e">
        <f>TRIM(INVOICE!#REF!)</f>
        <v>#REF!</v>
      </c>
      <c r="C212" s="84" t="e">
        <f>TRIM(INVOICE!#REF!)</f>
        <v>#REF!</v>
      </c>
    </row>
    <row r="213" spans="1:3" ht="25" customHeight="1" x14ac:dyDescent="0.25">
      <c r="A213" s="94"/>
      <c r="B213" s="86" t="e">
        <f>TRIM(INVOICE!#REF!)</f>
        <v>#REF!</v>
      </c>
      <c r="C213" s="84" t="e">
        <f>TRIM(INVOICE!#REF!)</f>
        <v>#REF!</v>
      </c>
    </row>
    <row r="214" spans="1:3" ht="25" customHeight="1" x14ac:dyDescent="0.25">
      <c r="A214" s="94"/>
      <c r="B214" s="86" t="e">
        <f>TRIM(INVOICE!#REF!)</f>
        <v>#REF!</v>
      </c>
      <c r="C214" s="84" t="e">
        <f>TRIM(INVOICE!#REF!)</f>
        <v>#REF!</v>
      </c>
    </row>
    <row r="215" spans="1:3" ht="25" customHeight="1" x14ac:dyDescent="0.25">
      <c r="A215" s="94"/>
      <c r="B215" s="86" t="e">
        <f>TRIM(INVOICE!#REF!)</f>
        <v>#REF!</v>
      </c>
      <c r="C215" s="84" t="e">
        <f>TRIM(INVOICE!#REF!)</f>
        <v>#REF!</v>
      </c>
    </row>
    <row r="216" spans="1:3" ht="25" customHeight="1" x14ac:dyDescent="0.25">
      <c r="A216" s="94"/>
      <c r="B216" s="86" t="e">
        <f>TRIM(INVOICE!#REF!)</f>
        <v>#REF!</v>
      </c>
      <c r="C216" s="84" t="e">
        <f>TRIM(INVOICE!#REF!)</f>
        <v>#REF!</v>
      </c>
    </row>
    <row r="217" spans="1:3" ht="25" customHeight="1" x14ac:dyDescent="0.25">
      <c r="A217" s="29"/>
      <c r="B217" s="86" t="e">
        <f>TRIM(INVOICE!#REF!)</f>
        <v>#REF!</v>
      </c>
      <c r="C217" s="84" t="e">
        <f>TRIM(INVOICE!#REF!)</f>
        <v>#REF!</v>
      </c>
    </row>
    <row r="218" spans="1:3" ht="25" customHeight="1" x14ac:dyDescent="0.25">
      <c r="A218" s="29"/>
      <c r="B218" s="86" t="e">
        <f>TRIM(INVOICE!#REF!)</f>
        <v>#REF!</v>
      </c>
      <c r="C218" s="84" t="e">
        <f>TRIM(INVOICE!#REF!)</f>
        <v>#REF!</v>
      </c>
    </row>
    <row r="219" spans="1:3" ht="25" customHeight="1" x14ac:dyDescent="0.25">
      <c r="A219" s="29"/>
      <c r="B219" s="86" t="e">
        <f>TRIM(INVOICE!#REF!)</f>
        <v>#REF!</v>
      </c>
      <c r="C219" s="84" t="e">
        <f>TRIM(INVOICE!#REF!)</f>
        <v>#REF!</v>
      </c>
    </row>
    <row r="220" spans="1:3" ht="25" customHeight="1" thickBot="1" x14ac:dyDescent="0.3">
      <c r="A220" s="29"/>
      <c r="B220" s="89" t="e">
        <f>TRIM(INVOICE!#REF!)</f>
        <v>#REF!</v>
      </c>
      <c r="C220" s="90" t="e">
        <f>TRIM(INVOICE!#REF!)</f>
        <v>#REF!</v>
      </c>
    </row>
    <row r="221" spans="1:3" ht="37.5" customHeight="1" x14ac:dyDescent="0.25">
      <c r="A221" s="29"/>
      <c r="B221" s="35"/>
      <c r="C221" s="36" t="e">
        <f>TRIM(INVOICE!#REF!)</f>
        <v>#REF!</v>
      </c>
    </row>
    <row r="222" spans="1:3" ht="37.5" customHeight="1" x14ac:dyDescent="0.25">
      <c r="A222" s="29"/>
      <c r="B222" s="34" t="e">
        <f>TRIM(INVOICE!#REF!)</f>
        <v>#REF!</v>
      </c>
      <c r="C222" s="75" t="e">
        <f>TRIM(INVOICE!#REF!)</f>
        <v>#REF!</v>
      </c>
    </row>
    <row r="223" spans="1:3" ht="37.5" customHeight="1" x14ac:dyDescent="0.25">
      <c r="A223" s="29"/>
      <c r="B223" s="34" t="e">
        <f>TRIM(INVOICE!#REF!)</f>
        <v>#REF!</v>
      </c>
      <c r="C223" s="75" t="e">
        <f>TRIM(INVOICE!#REF!)</f>
        <v>#REF!</v>
      </c>
    </row>
    <row r="224" spans="1:3" ht="37.5" customHeight="1" x14ac:dyDescent="0.25">
      <c r="A224" s="29"/>
      <c r="B224" s="34" t="e">
        <f>TRIM(INVOICE!#REF!)</f>
        <v>#REF!</v>
      </c>
      <c r="C224" s="75" t="e">
        <f>TRIM(INVOICE!#REF!)</f>
        <v>#REF!</v>
      </c>
    </row>
    <row r="225" spans="1:3" ht="37.5" customHeight="1" x14ac:dyDescent="0.25">
      <c r="A225" s="29"/>
      <c r="B225" s="34" t="e">
        <f>TRIM(INVOICE!#REF!)</f>
        <v>#REF!</v>
      </c>
      <c r="C225" s="75" t="e">
        <f>TRIM(INVOICE!#REF!)</f>
        <v>#REF!</v>
      </c>
    </row>
    <row r="226" spans="1:3" ht="91.5" customHeight="1" x14ac:dyDescent="0.25">
      <c r="A226" s="29"/>
      <c r="B226" s="189"/>
      <c r="C226" s="190"/>
    </row>
    <row r="227" spans="1:3" ht="12.75" customHeight="1" x14ac:dyDescent="0.25">
      <c r="A227" s="28"/>
      <c r="B227" s="28"/>
      <c r="C227" s="73"/>
    </row>
    <row r="228" spans="1:3" ht="12.75" customHeight="1" x14ac:dyDescent="0.25">
      <c r="A228" s="28"/>
      <c r="B228" s="28"/>
      <c r="C228" s="73"/>
    </row>
    <row r="229" spans="1:3" ht="40.5" customHeight="1" x14ac:dyDescent="0.25">
      <c r="A229" s="28"/>
      <c r="B229" s="28"/>
      <c r="C229" s="73"/>
    </row>
    <row r="230" spans="1:3" ht="51" customHeight="1" thickBot="1" x14ac:dyDescent="0.3">
      <c r="A230" s="28"/>
      <c r="B230" s="28"/>
      <c r="C230" s="73"/>
    </row>
    <row r="231" spans="1:3" ht="75" customHeight="1" thickBot="1" x14ac:dyDescent="0.3">
      <c r="A231" s="28"/>
      <c r="B231" s="71"/>
      <c r="C231" s="72"/>
    </row>
    <row r="232" spans="1:3" ht="30" customHeight="1" x14ac:dyDescent="0.25">
      <c r="A232" s="29"/>
      <c r="B232" s="81" t="s">
        <v>18</v>
      </c>
      <c r="C232" s="82" t="str">
        <f>TRIM(INVOICE!$G$1)</f>
        <v>INAE1352/26</v>
      </c>
    </row>
    <row r="233" spans="1:3" ht="25" customHeight="1" x14ac:dyDescent="0.25">
      <c r="A233" s="29"/>
      <c r="B233" s="83" t="s">
        <v>19</v>
      </c>
      <c r="C233" s="84" t="str">
        <f>TRIM(INVOICE!$B$3)</f>
        <v>Nina Matalasova
Valeriia Polozova</v>
      </c>
    </row>
    <row r="234" spans="1:3" ht="25" customHeight="1" x14ac:dyDescent="0.25">
      <c r="A234" s="29"/>
      <c r="B234" s="83" t="s">
        <v>11</v>
      </c>
      <c r="C234" s="85" t="str">
        <f>TRIM(INVOICE!$E$25)</f>
        <v>Manaus</v>
      </c>
    </row>
    <row r="235" spans="1:3" ht="5" customHeight="1" x14ac:dyDescent="0.25">
      <c r="A235" s="29"/>
      <c r="B235" s="191"/>
      <c r="C235" s="188"/>
    </row>
    <row r="236" spans="1:3" ht="12.75" customHeight="1" thickBot="1" x14ac:dyDescent="0.3">
      <c r="A236" s="29"/>
      <c r="B236" s="32"/>
      <c r="C236" s="76"/>
    </row>
    <row r="237" spans="1:3" ht="30" customHeight="1" x14ac:dyDescent="0.35">
      <c r="A237" s="31"/>
      <c r="B237" s="184" t="s">
        <v>13</v>
      </c>
      <c r="C237" s="185"/>
    </row>
    <row r="238" spans="1:3" ht="25" customHeight="1" x14ac:dyDescent="0.25">
      <c r="A238" s="29"/>
      <c r="B238" s="86" t="str">
        <f>TRIM(INVOICE!A25)</f>
        <v>08-10.05.2026</v>
      </c>
      <c r="C238" s="84" t="str">
        <f>TRIM(INVOICE!B25)</f>
        <v>Evolucao Ecolodge Pakage 3d2n included transfers and tours in group with English guide, Meeting of the waters, inc Pink dolphins swimming</v>
      </c>
    </row>
    <row r="239" spans="1:3" ht="25" customHeight="1" x14ac:dyDescent="0.25">
      <c r="A239" s="94"/>
      <c r="B239" s="86" t="e">
        <f>TRIM(INVOICE!#REF!)</f>
        <v>#REF!</v>
      </c>
      <c r="C239" s="84" t="e">
        <f>TRIM(INVOICE!#REF!)</f>
        <v>#REF!</v>
      </c>
    </row>
    <row r="240" spans="1:3" ht="25" customHeight="1" x14ac:dyDescent="0.25">
      <c r="A240" s="94"/>
      <c r="B240" s="86" t="e">
        <f>TRIM(INVOICE!#REF!)</f>
        <v>#REF!</v>
      </c>
      <c r="C240" s="84" t="e">
        <f>TRIM(INVOICE!#REF!)</f>
        <v>#REF!</v>
      </c>
    </row>
    <row r="241" spans="1:3" ht="25" customHeight="1" x14ac:dyDescent="0.25">
      <c r="A241" s="94"/>
      <c r="B241" s="86" t="e">
        <f>TRIM(INVOICE!#REF!)</f>
        <v>#REF!</v>
      </c>
      <c r="C241" s="84" t="e">
        <f>TRIM(INVOICE!#REF!)</f>
        <v>#REF!</v>
      </c>
    </row>
    <row r="242" spans="1:3" ht="25" customHeight="1" x14ac:dyDescent="0.25">
      <c r="A242" s="94"/>
      <c r="B242" s="86" t="e">
        <f>TRIM(INVOICE!#REF!)</f>
        <v>#REF!</v>
      </c>
      <c r="C242" s="84" t="e">
        <f>TRIM(INVOICE!#REF!)</f>
        <v>#REF!</v>
      </c>
    </row>
    <row r="243" spans="1:3" ht="25" customHeight="1" x14ac:dyDescent="0.25">
      <c r="A243" s="94"/>
      <c r="B243" s="86" t="e">
        <f>TRIM(INVOICE!#REF!)</f>
        <v>#REF!</v>
      </c>
      <c r="C243" s="84" t="e">
        <f>TRIM(INVOICE!#REF!)</f>
        <v>#REF!</v>
      </c>
    </row>
    <row r="244" spans="1:3" ht="25" customHeight="1" x14ac:dyDescent="0.25">
      <c r="A244" s="29"/>
      <c r="B244" s="86" t="e">
        <f>TRIM(INVOICE!#REF!)</f>
        <v>#REF!</v>
      </c>
      <c r="C244" s="84" t="e">
        <f>TRIM(INVOICE!#REF!)</f>
        <v>#REF!</v>
      </c>
    </row>
    <row r="245" spans="1:3" ht="25" customHeight="1" x14ac:dyDescent="0.25">
      <c r="A245" s="29"/>
      <c r="B245" s="86" t="e">
        <f>TRIM(INVOICE!#REF!)</f>
        <v>#REF!</v>
      </c>
      <c r="C245" s="84" t="e">
        <f>TRIM(INVOICE!#REF!)</f>
        <v>#REF!</v>
      </c>
    </row>
    <row r="246" spans="1:3" ht="25" customHeight="1" x14ac:dyDescent="0.25">
      <c r="A246" s="29"/>
      <c r="B246" s="86" t="e">
        <f>TRIM(INVOICE!#REF!)</f>
        <v>#REF!</v>
      </c>
      <c r="C246" s="84" t="e">
        <f>TRIM(INVOICE!#REF!)</f>
        <v>#REF!</v>
      </c>
    </row>
    <row r="247" spans="1:3" ht="25" customHeight="1" thickBot="1" x14ac:dyDescent="0.3">
      <c r="A247" s="29"/>
      <c r="B247" s="89" t="e">
        <f>TRIM(INVOICE!#REF!)</f>
        <v>#REF!</v>
      </c>
      <c r="C247" s="90" t="e">
        <f>TRIM(INVOICE!#REF!)</f>
        <v>#REF!</v>
      </c>
    </row>
    <row r="248" spans="1:3" ht="37.5" customHeight="1" x14ac:dyDescent="0.25">
      <c r="A248" s="29"/>
      <c r="B248" s="35" t="e">
        <f>TRIM(INVOICE!#REF!)</f>
        <v>#REF!</v>
      </c>
      <c r="C248" s="36" t="e">
        <f>TRIM(INVOICE!#REF!)</f>
        <v>#REF!</v>
      </c>
    </row>
    <row r="249" spans="1:3" ht="37.5" customHeight="1" x14ac:dyDescent="0.25">
      <c r="A249" s="29"/>
      <c r="B249" s="34" t="e">
        <f>TRIM(INVOICE!#REF!)</f>
        <v>#REF!</v>
      </c>
      <c r="C249" s="75" t="e">
        <f>TRIM(INVOICE!#REF!)</f>
        <v>#REF!</v>
      </c>
    </row>
    <row r="250" spans="1:3" ht="37.5" customHeight="1" x14ac:dyDescent="0.25">
      <c r="A250" s="29"/>
      <c r="B250" s="34" t="e">
        <f>TRIM(INVOICE!#REF!)</f>
        <v>#REF!</v>
      </c>
      <c r="C250" s="75" t="e">
        <f>TRIM(INVOICE!#REF!)</f>
        <v>#REF!</v>
      </c>
    </row>
    <row r="251" spans="1:3" ht="37.5" customHeight="1" x14ac:dyDescent="0.25">
      <c r="A251" s="29"/>
      <c r="B251" s="34" t="e">
        <f>TRIM(INVOICE!#REF!)</f>
        <v>#REF!</v>
      </c>
      <c r="C251" s="75" t="e">
        <f>TRIM(INVOICE!#REF!)</f>
        <v>#REF!</v>
      </c>
    </row>
    <row r="252" spans="1:3" ht="37.5" customHeight="1" x14ac:dyDescent="0.25">
      <c r="A252" s="29"/>
      <c r="B252" s="34" t="e">
        <f>TRIM(INVOICE!#REF!)</f>
        <v>#REF!</v>
      </c>
      <c r="C252" s="75" t="e">
        <f>TRIM(INVOICE!#REF!)</f>
        <v>#REF!</v>
      </c>
    </row>
    <row r="253" spans="1:3" ht="91.5" customHeight="1" x14ac:dyDescent="0.25">
      <c r="A253" s="29"/>
      <c r="B253" s="189"/>
      <c r="C253" s="190"/>
    </row>
    <row r="254" spans="1:3" ht="12.75" customHeight="1" x14ac:dyDescent="0.25">
      <c r="A254" s="28"/>
      <c r="B254" s="28"/>
      <c r="C254" s="73"/>
    </row>
    <row r="255" spans="1:3" ht="12.75" customHeight="1" x14ac:dyDescent="0.25">
      <c r="A255" s="28"/>
      <c r="B255" s="28"/>
      <c r="C255" s="73"/>
    </row>
    <row r="256" spans="1:3" ht="50.25" customHeight="1" x14ac:dyDescent="0.25">
      <c r="A256" s="28"/>
      <c r="B256" s="28"/>
      <c r="C256" s="73"/>
    </row>
    <row r="257" spans="1:3" ht="51" customHeight="1" thickBot="1" x14ac:dyDescent="0.3">
      <c r="A257" s="28"/>
      <c r="B257" s="28"/>
      <c r="C257" s="73"/>
    </row>
    <row r="258" spans="1:3" ht="75" customHeight="1" thickBot="1" x14ac:dyDescent="0.3">
      <c r="A258" s="28"/>
      <c r="B258" s="71"/>
      <c r="C258" s="72"/>
    </row>
    <row r="259" spans="1:3" ht="30" customHeight="1" x14ac:dyDescent="0.25">
      <c r="A259" s="29"/>
      <c r="B259" s="81" t="s">
        <v>18</v>
      </c>
      <c r="C259" s="82" t="str">
        <f>TRIM(INVOICE!$G$1)</f>
        <v>INAE1352/26</v>
      </c>
    </row>
    <row r="260" spans="1:3" ht="25" customHeight="1" x14ac:dyDescent="0.25">
      <c r="A260" s="29"/>
      <c r="B260" s="83" t="s">
        <v>19</v>
      </c>
      <c r="C260" s="84" t="str">
        <f>TRIM(INVOICE!$B$3)</f>
        <v>Nina Matalasova
Valeriia Polozova</v>
      </c>
    </row>
    <row r="261" spans="1:3" ht="25" customHeight="1" x14ac:dyDescent="0.25">
      <c r="A261" s="29"/>
      <c r="B261" s="83" t="s">
        <v>11</v>
      </c>
      <c r="C261" s="85" t="str">
        <f>TRIM(INVOICE!$E$25)</f>
        <v>Manaus</v>
      </c>
    </row>
    <row r="262" spans="1:3" ht="5" customHeight="1" x14ac:dyDescent="0.25">
      <c r="A262" s="29"/>
      <c r="B262" s="191"/>
      <c r="C262" s="188"/>
    </row>
    <row r="263" spans="1:3" ht="12.75" customHeight="1" thickBot="1" x14ac:dyDescent="0.3">
      <c r="A263" s="29"/>
      <c r="B263" s="32"/>
      <c r="C263" s="76"/>
    </row>
    <row r="264" spans="1:3" ht="30" customHeight="1" x14ac:dyDescent="0.35">
      <c r="A264" s="31"/>
      <c r="B264" s="184" t="s">
        <v>13</v>
      </c>
      <c r="C264" s="185"/>
    </row>
    <row r="265" spans="1:3" ht="25" customHeight="1" x14ac:dyDescent="0.25">
      <c r="A265" s="29"/>
      <c r="B265" s="86" t="str">
        <f>TRIM(INVOICE!A25)</f>
        <v>08-10.05.2026</v>
      </c>
      <c r="C265" s="84" t="str">
        <f>TRIM(INVOICE!B25)</f>
        <v>Evolucao Ecolodge Pakage 3d2n included transfers and tours in group with English guide, Meeting of the waters, inc Pink dolphins swimming</v>
      </c>
    </row>
    <row r="266" spans="1:3" ht="25" customHeight="1" x14ac:dyDescent="0.25">
      <c r="A266" s="94"/>
      <c r="B266" s="86" t="e">
        <f>TRIM(INVOICE!#REF!)</f>
        <v>#REF!</v>
      </c>
      <c r="C266" s="84" t="e">
        <f>TRIM(INVOICE!#REF!)</f>
        <v>#REF!</v>
      </c>
    </row>
    <row r="267" spans="1:3" ht="25" customHeight="1" x14ac:dyDescent="0.25">
      <c r="A267" s="94"/>
      <c r="B267" s="86" t="e">
        <f>TRIM(INVOICE!#REF!)</f>
        <v>#REF!</v>
      </c>
      <c r="C267" s="84" t="e">
        <f>TRIM(INVOICE!#REF!)</f>
        <v>#REF!</v>
      </c>
    </row>
    <row r="268" spans="1:3" ht="25" customHeight="1" x14ac:dyDescent="0.25">
      <c r="A268" s="94"/>
      <c r="B268" s="86" t="e">
        <f>TRIM(INVOICE!#REF!)</f>
        <v>#REF!</v>
      </c>
      <c r="C268" s="84" t="e">
        <f>TRIM(INVOICE!#REF!)</f>
        <v>#REF!</v>
      </c>
    </row>
    <row r="269" spans="1:3" ht="25" customHeight="1" x14ac:dyDescent="0.25">
      <c r="A269" s="94"/>
      <c r="B269" s="86" t="e">
        <f>TRIM(INVOICE!#REF!)</f>
        <v>#REF!</v>
      </c>
      <c r="C269" s="84" t="e">
        <f>TRIM(INVOICE!#REF!)</f>
        <v>#REF!</v>
      </c>
    </row>
    <row r="270" spans="1:3" ht="25" customHeight="1" x14ac:dyDescent="0.25">
      <c r="A270" s="94"/>
      <c r="B270" s="86" t="e">
        <f>TRIM(INVOICE!#REF!)</f>
        <v>#REF!</v>
      </c>
      <c r="C270" s="84" t="e">
        <f>TRIM(INVOICE!#REF!)</f>
        <v>#REF!</v>
      </c>
    </row>
    <row r="271" spans="1:3" ht="25" customHeight="1" x14ac:dyDescent="0.25">
      <c r="A271" s="29"/>
      <c r="B271" s="86" t="e">
        <f>TRIM(INVOICE!#REF!)</f>
        <v>#REF!</v>
      </c>
      <c r="C271" s="84" t="e">
        <f>TRIM(INVOICE!#REF!)</f>
        <v>#REF!</v>
      </c>
    </row>
    <row r="272" spans="1:3" ht="25" customHeight="1" x14ac:dyDescent="0.25">
      <c r="A272" s="29"/>
      <c r="B272" s="86" t="e">
        <f>TRIM(INVOICE!#REF!)</f>
        <v>#REF!</v>
      </c>
      <c r="C272" s="84" t="e">
        <f>TRIM(INVOICE!#REF!)</f>
        <v>#REF!</v>
      </c>
    </row>
    <row r="273" spans="1:3" ht="25" customHeight="1" x14ac:dyDescent="0.25">
      <c r="A273" s="29"/>
      <c r="B273" s="86" t="e">
        <f>TRIM(INVOICE!#REF!)</f>
        <v>#REF!</v>
      </c>
      <c r="C273" s="84" t="e">
        <f>TRIM(INVOICE!#REF!)</f>
        <v>#REF!</v>
      </c>
    </row>
    <row r="274" spans="1:3" ht="25" customHeight="1" thickBot="1" x14ac:dyDescent="0.3">
      <c r="A274" s="29"/>
      <c r="B274" s="89" t="e">
        <f>TRIM(INVOICE!#REF!)</f>
        <v>#REF!</v>
      </c>
      <c r="C274" s="90" t="e">
        <f>TRIM(INVOICE!#REF!)</f>
        <v>#REF!</v>
      </c>
    </row>
    <row r="275" spans="1:3" ht="37.5" customHeight="1" x14ac:dyDescent="0.25">
      <c r="A275" s="29"/>
      <c r="B275" s="35" t="e">
        <f>TRIM(INVOICE!#REF!)</f>
        <v>#REF!</v>
      </c>
      <c r="C275" s="36" t="e">
        <f>TRIM(INVOICE!#REF!)</f>
        <v>#REF!</v>
      </c>
    </row>
    <row r="276" spans="1:3" ht="37.5" customHeight="1" x14ac:dyDescent="0.25">
      <c r="A276" s="29"/>
      <c r="B276" s="34" t="e">
        <f>TRIM(INVOICE!#REF!)</f>
        <v>#REF!</v>
      </c>
      <c r="C276" s="75" t="e">
        <f>TRIM(INVOICE!#REF!)</f>
        <v>#REF!</v>
      </c>
    </row>
    <row r="277" spans="1:3" ht="37.5" customHeight="1" x14ac:dyDescent="0.25">
      <c r="A277" s="29"/>
      <c r="B277" s="34" t="e">
        <f>TRIM(INVOICE!#REF!)</f>
        <v>#REF!</v>
      </c>
      <c r="C277" s="75" t="e">
        <f>TRIM(INVOICE!#REF!)</f>
        <v>#REF!</v>
      </c>
    </row>
    <row r="278" spans="1:3" ht="37.5" customHeight="1" x14ac:dyDescent="0.25">
      <c r="A278" s="29"/>
      <c r="B278" s="34" t="e">
        <f>TRIM(INVOICE!#REF!)</f>
        <v>#REF!</v>
      </c>
      <c r="C278" s="75" t="e">
        <f>TRIM(INVOICE!#REF!)</f>
        <v>#REF!</v>
      </c>
    </row>
    <row r="279" spans="1:3" ht="37.5" customHeight="1" x14ac:dyDescent="0.25">
      <c r="A279" s="29"/>
      <c r="B279" s="34" t="e">
        <f>TRIM(INVOICE!#REF!)</f>
        <v>#REF!</v>
      </c>
      <c r="C279" s="75" t="e">
        <f>TRIM(INVOICE!#REF!)</f>
        <v>#REF!</v>
      </c>
    </row>
    <row r="280" spans="1:3" ht="91.5" customHeight="1" x14ac:dyDescent="0.25">
      <c r="A280" s="29"/>
      <c r="B280" s="189"/>
      <c r="C280" s="190"/>
    </row>
    <row r="281" spans="1:3" ht="12.75" customHeight="1" x14ac:dyDescent="0.25">
      <c r="A281" s="28"/>
      <c r="B281" s="28"/>
      <c r="C281" s="73"/>
    </row>
    <row r="282" spans="1:3" ht="12.75" customHeight="1" x14ac:dyDescent="0.25">
      <c r="A282" s="28"/>
      <c r="B282" s="28"/>
      <c r="C282" s="73"/>
    </row>
    <row r="283" spans="1:3" ht="50.25" customHeight="1" x14ac:dyDescent="0.25">
      <c r="A283" s="28"/>
      <c r="B283" s="28"/>
      <c r="C283" s="73"/>
    </row>
    <row r="284" spans="1:3" ht="50.25" customHeight="1" thickBot="1" x14ac:dyDescent="0.3">
      <c r="A284" s="28"/>
      <c r="B284" s="28"/>
      <c r="C284" s="73"/>
    </row>
    <row r="285" spans="1:3" ht="75" customHeight="1" thickBot="1" x14ac:dyDescent="0.3">
      <c r="A285" s="28"/>
      <c r="B285" s="71"/>
      <c r="C285" s="72"/>
    </row>
    <row r="286" spans="1:3" ht="30" customHeight="1" x14ac:dyDescent="0.25">
      <c r="A286" s="29"/>
      <c r="B286" s="81" t="s">
        <v>18</v>
      </c>
      <c r="C286" s="82" t="str">
        <f>TRIM(INVOICE!$G$1)</f>
        <v>INAE1352/26</v>
      </c>
    </row>
    <row r="287" spans="1:3" ht="25" customHeight="1" x14ac:dyDescent="0.25">
      <c r="A287" s="29"/>
      <c r="B287" s="83" t="s">
        <v>19</v>
      </c>
      <c r="C287" s="84" t="str">
        <f>TRIM(INVOICE!$B$3)</f>
        <v>Nina Matalasova
Valeriia Polozova</v>
      </c>
    </row>
    <row r="288" spans="1:3" ht="25" customHeight="1" x14ac:dyDescent="0.25">
      <c r="A288" s="29"/>
      <c r="B288" s="83" t="s">
        <v>11</v>
      </c>
      <c r="C288" s="85" t="str">
        <f>TRIM(INVOICE!$E$25)</f>
        <v>Manaus</v>
      </c>
    </row>
    <row r="289" spans="1:3" ht="5" customHeight="1" x14ac:dyDescent="0.25">
      <c r="A289" s="29"/>
      <c r="B289" s="191"/>
      <c r="C289" s="188"/>
    </row>
    <row r="290" spans="1:3" ht="12.75" customHeight="1" thickBot="1" x14ac:dyDescent="0.3">
      <c r="A290" s="29"/>
      <c r="B290" s="32"/>
      <c r="C290" s="76"/>
    </row>
    <row r="291" spans="1:3" ht="30" customHeight="1" x14ac:dyDescent="0.35">
      <c r="A291" s="31"/>
      <c r="B291" s="184" t="s">
        <v>13</v>
      </c>
      <c r="C291" s="185"/>
    </row>
    <row r="292" spans="1:3" ht="25" customHeight="1" x14ac:dyDescent="0.25">
      <c r="A292" s="29"/>
      <c r="B292" s="86" t="str">
        <f>TRIM(INVOICE!A25)</f>
        <v>08-10.05.2026</v>
      </c>
      <c r="C292" s="84" t="str">
        <f>TRIM(INVOICE!B25)</f>
        <v>Evolucao Ecolodge Pakage 3d2n included transfers and tours in group with English guide, Meeting of the waters, inc Pink dolphins swimming</v>
      </c>
    </row>
    <row r="293" spans="1:3" ht="25" customHeight="1" x14ac:dyDescent="0.25">
      <c r="A293" s="94"/>
      <c r="B293" s="86" t="e">
        <f>TRIM(INVOICE!#REF!)</f>
        <v>#REF!</v>
      </c>
      <c r="C293" s="84" t="e">
        <f>TRIM(INVOICE!#REF!)</f>
        <v>#REF!</v>
      </c>
    </row>
    <row r="294" spans="1:3" ht="25" customHeight="1" x14ac:dyDescent="0.25">
      <c r="A294" s="94"/>
      <c r="B294" s="86" t="e">
        <f>TRIM(INVOICE!#REF!)</f>
        <v>#REF!</v>
      </c>
      <c r="C294" s="84" t="e">
        <f>TRIM(INVOICE!#REF!)</f>
        <v>#REF!</v>
      </c>
    </row>
    <row r="295" spans="1:3" ht="25" customHeight="1" x14ac:dyDescent="0.25">
      <c r="A295" s="94"/>
      <c r="B295" s="86" t="e">
        <f>TRIM(INVOICE!#REF!)</f>
        <v>#REF!</v>
      </c>
      <c r="C295" s="84" t="e">
        <f>TRIM(INVOICE!#REF!)</f>
        <v>#REF!</v>
      </c>
    </row>
    <row r="296" spans="1:3" ht="25" customHeight="1" x14ac:dyDescent="0.25">
      <c r="A296" s="94"/>
      <c r="B296" s="86" t="e">
        <f>TRIM(INVOICE!#REF!)</f>
        <v>#REF!</v>
      </c>
      <c r="C296" s="84" t="e">
        <f>TRIM(INVOICE!#REF!)</f>
        <v>#REF!</v>
      </c>
    </row>
    <row r="297" spans="1:3" ht="25" customHeight="1" x14ac:dyDescent="0.25">
      <c r="A297" s="94"/>
      <c r="B297" s="86" t="e">
        <f>TRIM(INVOICE!#REF!)</f>
        <v>#REF!</v>
      </c>
      <c r="C297" s="84" t="e">
        <f>TRIM(INVOICE!#REF!)</f>
        <v>#REF!</v>
      </c>
    </row>
    <row r="298" spans="1:3" ht="25" customHeight="1" x14ac:dyDescent="0.25">
      <c r="A298" s="29"/>
      <c r="B298" s="86" t="e">
        <f>TRIM(INVOICE!#REF!)</f>
        <v>#REF!</v>
      </c>
      <c r="C298" s="84" t="e">
        <f>TRIM(INVOICE!#REF!)</f>
        <v>#REF!</v>
      </c>
    </row>
    <row r="299" spans="1:3" ht="25" customHeight="1" x14ac:dyDescent="0.25">
      <c r="A299" s="29"/>
      <c r="B299" s="86" t="e">
        <f>TRIM(INVOICE!#REF!)</f>
        <v>#REF!</v>
      </c>
      <c r="C299" s="84" t="e">
        <f>TRIM(INVOICE!#REF!)</f>
        <v>#REF!</v>
      </c>
    </row>
    <row r="300" spans="1:3" ht="25" customHeight="1" x14ac:dyDescent="0.25">
      <c r="A300" s="29"/>
      <c r="B300" s="86" t="e">
        <f>TRIM(INVOICE!#REF!)</f>
        <v>#REF!</v>
      </c>
      <c r="C300" s="84" t="e">
        <f>TRIM(INVOICE!#REF!)</f>
        <v>#REF!</v>
      </c>
    </row>
    <row r="301" spans="1:3" ht="25" customHeight="1" thickBot="1" x14ac:dyDescent="0.3">
      <c r="A301" s="29"/>
      <c r="B301" s="89" t="e">
        <f>TRIM(INVOICE!#REF!)</f>
        <v>#REF!</v>
      </c>
      <c r="C301" s="90" t="e">
        <f>TRIM(INVOICE!#REF!)</f>
        <v>#REF!</v>
      </c>
    </row>
    <row r="302" spans="1:3" ht="37.5" customHeight="1" x14ac:dyDescent="0.25">
      <c r="A302" s="29"/>
      <c r="B302" s="35" t="e">
        <f>TRIM(INVOICE!#REF!)</f>
        <v>#REF!</v>
      </c>
      <c r="C302" s="36" t="e">
        <f>TRIM(INVOICE!#REF!)</f>
        <v>#REF!</v>
      </c>
    </row>
    <row r="303" spans="1:3" ht="37.5" customHeight="1" x14ac:dyDescent="0.25">
      <c r="A303" s="29"/>
      <c r="B303" s="34" t="e">
        <f>TRIM(INVOICE!#REF!)</f>
        <v>#REF!</v>
      </c>
      <c r="C303" s="75" t="e">
        <f>TRIM(INVOICE!#REF!)</f>
        <v>#REF!</v>
      </c>
    </row>
    <row r="304" spans="1:3" ht="37.5" customHeight="1" x14ac:dyDescent="0.25">
      <c r="A304" s="29"/>
      <c r="B304" s="34" t="e">
        <f>TRIM(INVOICE!#REF!)</f>
        <v>#REF!</v>
      </c>
      <c r="C304" s="75" t="e">
        <f>TRIM(INVOICE!#REF!)</f>
        <v>#REF!</v>
      </c>
    </row>
    <row r="305" spans="1:3" ht="37.5" customHeight="1" x14ac:dyDescent="0.25">
      <c r="A305" s="29"/>
      <c r="B305" s="34" t="e">
        <f>TRIM(INVOICE!#REF!)</f>
        <v>#REF!</v>
      </c>
      <c r="C305" s="75" t="e">
        <f>TRIM(INVOICE!#REF!)</f>
        <v>#REF!</v>
      </c>
    </row>
    <row r="306" spans="1:3" ht="37.5" customHeight="1" x14ac:dyDescent="0.25">
      <c r="A306" s="29"/>
      <c r="B306" s="34" t="e">
        <f>TRIM(INVOICE!#REF!)</f>
        <v>#REF!</v>
      </c>
      <c r="C306" s="75" t="e">
        <f>TRIM(INVOICE!#REF!)</f>
        <v>#REF!</v>
      </c>
    </row>
    <row r="307" spans="1:3" ht="91.5" customHeight="1" x14ac:dyDescent="0.25">
      <c r="A307" s="29"/>
      <c r="B307" s="189"/>
      <c r="C307" s="190"/>
    </row>
    <row r="308" spans="1:3" ht="12.75" customHeight="1" x14ac:dyDescent="0.25">
      <c r="A308" s="28"/>
      <c r="B308" s="28"/>
      <c r="C308" s="73"/>
    </row>
    <row r="309" spans="1:3" ht="12.75" customHeight="1" x14ac:dyDescent="0.25">
      <c r="A309" s="28"/>
      <c r="B309" s="28"/>
      <c r="C309" s="73"/>
    </row>
    <row r="310" spans="1:3" ht="12.75" customHeight="1" x14ac:dyDescent="0.25">
      <c r="A310" s="28"/>
      <c r="B310" s="28"/>
      <c r="C310" s="73"/>
    </row>
    <row r="311" spans="1:3" ht="28.5" customHeight="1" x14ac:dyDescent="0.25">
      <c r="A311" s="28"/>
      <c r="B311" s="28"/>
      <c r="C311" s="73"/>
    </row>
    <row r="312" spans="1:3" ht="27" customHeight="1" thickBot="1" x14ac:dyDescent="0.3">
      <c r="A312" s="28"/>
      <c r="B312" s="28"/>
      <c r="C312" s="73"/>
    </row>
    <row r="313" spans="1:3" ht="75" customHeight="1" thickBot="1" x14ac:dyDescent="0.3">
      <c r="A313" s="28"/>
      <c r="B313" s="71"/>
      <c r="C313" s="72"/>
    </row>
    <row r="314" spans="1:3" ht="30" customHeight="1" x14ac:dyDescent="0.25">
      <c r="A314" s="29"/>
      <c r="B314" s="81" t="s">
        <v>18</v>
      </c>
      <c r="C314" s="82" t="str">
        <f>TRIM(INVOICE!$G$1)</f>
        <v>INAE1352/26</v>
      </c>
    </row>
    <row r="315" spans="1:3" ht="24.5" customHeight="1" x14ac:dyDescent="0.25">
      <c r="A315" s="29"/>
      <c r="B315" s="83" t="s">
        <v>19</v>
      </c>
      <c r="C315" s="84" t="str">
        <f>TRIM(INVOICE!$B$3)</f>
        <v>Nina Matalasova
Valeriia Polozova</v>
      </c>
    </row>
    <row r="316" spans="1:3" ht="25" customHeight="1" x14ac:dyDescent="0.25">
      <c r="A316" s="29"/>
      <c r="B316" s="83" t="s">
        <v>11</v>
      </c>
      <c r="C316" s="85" t="str">
        <f>TRIM(INVOICE!$E$25)</f>
        <v>Manaus</v>
      </c>
    </row>
    <row r="317" spans="1:3" ht="5" customHeight="1" x14ac:dyDescent="0.25">
      <c r="A317" s="29"/>
      <c r="B317" s="191"/>
      <c r="C317" s="188"/>
    </row>
    <row r="318" spans="1:3" ht="12.75" customHeight="1" thickBot="1" x14ac:dyDescent="0.3">
      <c r="A318" s="29"/>
      <c r="B318" s="32"/>
      <c r="C318" s="76"/>
    </row>
    <row r="319" spans="1:3" ht="30" customHeight="1" x14ac:dyDescent="0.35">
      <c r="A319" s="31"/>
      <c r="B319" s="184" t="s">
        <v>13</v>
      </c>
      <c r="C319" s="185"/>
    </row>
    <row r="320" spans="1:3" ht="25" customHeight="1" x14ac:dyDescent="0.25">
      <c r="A320" s="29"/>
      <c r="B320" s="86" t="str">
        <f>TRIM(INVOICE!A25)</f>
        <v>08-10.05.2026</v>
      </c>
      <c r="C320" s="84" t="str">
        <f>TRIM(INVOICE!B25)</f>
        <v>Evolucao Ecolodge Pakage 3d2n included transfers and tours in group with English guide, Meeting of the waters, inc Pink dolphins swimming</v>
      </c>
    </row>
    <row r="321" spans="1:3" ht="25" customHeight="1" x14ac:dyDescent="0.25">
      <c r="A321" s="94"/>
      <c r="B321" s="86" t="e">
        <f>TRIM(INVOICE!#REF!)</f>
        <v>#REF!</v>
      </c>
      <c r="C321" s="84" t="e">
        <f>TRIM(INVOICE!#REF!)</f>
        <v>#REF!</v>
      </c>
    </row>
    <row r="322" spans="1:3" ht="25" customHeight="1" x14ac:dyDescent="0.25">
      <c r="A322" s="94"/>
      <c r="B322" s="86" t="e">
        <f>TRIM(INVOICE!#REF!)</f>
        <v>#REF!</v>
      </c>
      <c r="C322" s="84" t="e">
        <f>TRIM(INVOICE!#REF!)</f>
        <v>#REF!</v>
      </c>
    </row>
    <row r="323" spans="1:3" ht="25" customHeight="1" x14ac:dyDescent="0.25">
      <c r="A323" s="94"/>
      <c r="B323" s="86" t="e">
        <f>TRIM(INVOICE!#REF!)</f>
        <v>#REF!</v>
      </c>
      <c r="C323" s="84" t="e">
        <f>TRIM(INVOICE!#REF!)</f>
        <v>#REF!</v>
      </c>
    </row>
    <row r="324" spans="1:3" ht="25" customHeight="1" x14ac:dyDescent="0.25">
      <c r="A324" s="94"/>
      <c r="B324" s="86" t="e">
        <f>TRIM(INVOICE!#REF!)</f>
        <v>#REF!</v>
      </c>
      <c r="C324" s="84" t="e">
        <f>TRIM(INVOICE!#REF!)</f>
        <v>#REF!</v>
      </c>
    </row>
    <row r="325" spans="1:3" ht="25" customHeight="1" x14ac:dyDescent="0.25">
      <c r="A325" s="94"/>
      <c r="B325" s="86" t="e">
        <f>TRIM(INVOICE!#REF!)</f>
        <v>#REF!</v>
      </c>
      <c r="C325" s="84" t="e">
        <f>TRIM(INVOICE!#REF!)</f>
        <v>#REF!</v>
      </c>
    </row>
    <row r="326" spans="1:3" ht="25" customHeight="1" x14ac:dyDescent="0.25">
      <c r="A326" s="29"/>
      <c r="B326" s="86" t="e">
        <f>TRIM(INVOICE!#REF!)</f>
        <v>#REF!</v>
      </c>
      <c r="C326" s="84" t="e">
        <f>TRIM(INVOICE!#REF!)</f>
        <v>#REF!</v>
      </c>
    </row>
    <row r="327" spans="1:3" ht="25" customHeight="1" x14ac:dyDescent="0.25">
      <c r="A327" s="29"/>
      <c r="B327" s="86" t="e">
        <f>TRIM(INVOICE!#REF!)</f>
        <v>#REF!</v>
      </c>
      <c r="C327" s="84" t="e">
        <f>TRIM(INVOICE!#REF!)</f>
        <v>#REF!</v>
      </c>
    </row>
    <row r="328" spans="1:3" ht="25" customHeight="1" x14ac:dyDescent="0.25">
      <c r="A328" s="29"/>
      <c r="B328" s="86" t="e">
        <f>TRIM(INVOICE!#REF!)</f>
        <v>#REF!</v>
      </c>
      <c r="C328" s="84" t="e">
        <f>TRIM(INVOICE!#REF!)</f>
        <v>#REF!</v>
      </c>
    </row>
    <row r="329" spans="1:3" ht="25" customHeight="1" thickBot="1" x14ac:dyDescent="0.3">
      <c r="A329" s="29"/>
      <c r="B329" s="89" t="e">
        <f>TRIM(INVOICE!#REF!)</f>
        <v>#REF!</v>
      </c>
      <c r="C329" s="90" t="e">
        <f>TRIM(INVOICE!#REF!)</f>
        <v>#REF!</v>
      </c>
    </row>
    <row r="330" spans="1:3" ht="37.5" customHeight="1" x14ac:dyDescent="0.25">
      <c r="A330" s="29"/>
      <c r="B330" s="35" t="e">
        <f>TRIM(INVOICE!#REF!)</f>
        <v>#REF!</v>
      </c>
      <c r="C330" s="36" t="e">
        <f>TRIM(INVOICE!#REF!)</f>
        <v>#REF!</v>
      </c>
    </row>
    <row r="331" spans="1:3" ht="37.5" customHeight="1" x14ac:dyDescent="0.25">
      <c r="A331" s="29"/>
      <c r="B331" s="34" t="e">
        <f>TRIM(INVOICE!#REF!)</f>
        <v>#REF!</v>
      </c>
      <c r="C331" s="75" t="e">
        <f>TRIM(INVOICE!#REF!)</f>
        <v>#REF!</v>
      </c>
    </row>
    <row r="332" spans="1:3" ht="37.5" customHeight="1" x14ac:dyDescent="0.25">
      <c r="A332" s="29"/>
      <c r="B332" s="34" t="e">
        <f>TRIM(INVOICE!#REF!)</f>
        <v>#REF!</v>
      </c>
      <c r="C332" s="75" t="e">
        <f>TRIM(INVOICE!#REF!)</f>
        <v>#REF!</v>
      </c>
    </row>
    <row r="333" spans="1:3" ht="37.5" customHeight="1" x14ac:dyDescent="0.25">
      <c r="A333" s="29"/>
      <c r="B333" s="34" t="e">
        <f>TRIM(INVOICE!#REF!)</f>
        <v>#REF!</v>
      </c>
      <c r="C333" s="75" t="e">
        <f>TRIM(INVOICE!#REF!)</f>
        <v>#REF!</v>
      </c>
    </row>
    <row r="334" spans="1:3" ht="37.5" customHeight="1" x14ac:dyDescent="0.25">
      <c r="A334" s="29"/>
      <c r="B334" s="34" t="e">
        <f>TRIM(INVOICE!#REF!)</f>
        <v>#REF!</v>
      </c>
      <c r="C334" s="75" t="e">
        <f>TRIM(INVOICE!#REF!)</f>
        <v>#REF!</v>
      </c>
    </row>
    <row r="335" spans="1:3" ht="91.5" customHeight="1" x14ac:dyDescent="0.25">
      <c r="A335" s="29"/>
      <c r="B335" s="189"/>
      <c r="C335" s="190"/>
    </row>
    <row r="336" spans="1:3" ht="12.75" customHeight="1" x14ac:dyDescent="0.25">
      <c r="A336" s="28"/>
      <c r="B336" s="28"/>
      <c r="C336" s="73"/>
    </row>
    <row r="337" spans="1:3" ht="12.75" customHeight="1" x14ac:dyDescent="0.25">
      <c r="A337" s="28"/>
      <c r="B337" s="28"/>
      <c r="C337" s="73"/>
    </row>
    <row r="338" spans="1:3" ht="41.25" customHeight="1" x14ac:dyDescent="0.25">
      <c r="A338" s="28"/>
      <c r="B338" s="28"/>
      <c r="C338" s="73"/>
    </row>
    <row r="339" spans="1:3" ht="51" customHeight="1" thickBot="1" x14ac:dyDescent="0.3">
      <c r="A339" s="28"/>
      <c r="B339" s="28"/>
      <c r="C339" s="73"/>
    </row>
    <row r="340" spans="1:3" ht="75" customHeight="1" thickBot="1" x14ac:dyDescent="0.3">
      <c r="A340" s="28"/>
      <c r="B340" s="71"/>
      <c r="C340" s="72"/>
    </row>
    <row r="341" spans="1:3" ht="30" customHeight="1" x14ac:dyDescent="0.25">
      <c r="A341" s="29"/>
      <c r="B341" s="81" t="s">
        <v>18</v>
      </c>
      <c r="C341" s="82" t="str">
        <f>TRIM(INVOICE!$G$1)</f>
        <v>INAE1352/26</v>
      </c>
    </row>
    <row r="342" spans="1:3" ht="25" customHeight="1" x14ac:dyDescent="0.25">
      <c r="A342" s="29"/>
      <c r="B342" s="83" t="s">
        <v>19</v>
      </c>
      <c r="C342" s="84" t="str">
        <f>TRIM(INVOICE!$B$3)</f>
        <v>Nina Matalasova
Valeriia Polozova</v>
      </c>
    </row>
    <row r="343" spans="1:3" ht="25" customHeight="1" x14ac:dyDescent="0.25">
      <c r="A343" s="29"/>
      <c r="B343" s="83" t="s">
        <v>11</v>
      </c>
      <c r="C343" s="85" t="str">
        <f>TRIM(INVOICE!$E$25)</f>
        <v>Manaus</v>
      </c>
    </row>
    <row r="344" spans="1:3" ht="5" customHeight="1" x14ac:dyDescent="0.25">
      <c r="A344" s="29"/>
      <c r="B344" s="191"/>
      <c r="C344" s="188"/>
    </row>
    <row r="345" spans="1:3" ht="12.75" customHeight="1" thickBot="1" x14ac:dyDescent="0.3">
      <c r="A345" s="29"/>
      <c r="B345" s="32"/>
      <c r="C345" s="76"/>
    </row>
    <row r="346" spans="1:3" ht="30" customHeight="1" x14ac:dyDescent="0.35">
      <c r="A346" s="31"/>
      <c r="B346" s="184" t="s">
        <v>13</v>
      </c>
      <c r="C346" s="185"/>
    </row>
    <row r="347" spans="1:3" ht="25" customHeight="1" x14ac:dyDescent="0.25">
      <c r="A347" s="29"/>
      <c r="B347" s="86" t="str">
        <f>TRIM(INVOICE!A25)</f>
        <v>08-10.05.2026</v>
      </c>
      <c r="C347" s="84" t="str">
        <f>TRIM(INVOICE!B25)</f>
        <v>Evolucao Ecolodge Pakage 3d2n included transfers and tours in group with English guide, Meeting of the waters, inc Pink dolphins swimming</v>
      </c>
    </row>
    <row r="348" spans="1:3" ht="25" customHeight="1" x14ac:dyDescent="0.25">
      <c r="A348" s="94"/>
      <c r="B348" s="86" t="e">
        <f>TRIM(INVOICE!#REF!)</f>
        <v>#REF!</v>
      </c>
      <c r="C348" s="84" t="e">
        <f>TRIM(INVOICE!#REF!)</f>
        <v>#REF!</v>
      </c>
    </row>
    <row r="349" spans="1:3" ht="25" customHeight="1" x14ac:dyDescent="0.25">
      <c r="A349" s="94"/>
      <c r="B349" s="86" t="e">
        <f>TRIM(INVOICE!#REF!)</f>
        <v>#REF!</v>
      </c>
      <c r="C349" s="84" t="e">
        <f>TRIM(INVOICE!#REF!)</f>
        <v>#REF!</v>
      </c>
    </row>
    <row r="350" spans="1:3" ht="25" customHeight="1" x14ac:dyDescent="0.25">
      <c r="A350" s="94"/>
      <c r="B350" s="86" t="e">
        <f>TRIM(INVOICE!#REF!)</f>
        <v>#REF!</v>
      </c>
      <c r="C350" s="84" t="e">
        <f>TRIM(INVOICE!#REF!)</f>
        <v>#REF!</v>
      </c>
    </row>
    <row r="351" spans="1:3" ht="25" customHeight="1" x14ac:dyDescent="0.25">
      <c r="A351" s="94"/>
      <c r="B351" s="86" t="e">
        <f>TRIM(INVOICE!#REF!)</f>
        <v>#REF!</v>
      </c>
      <c r="C351" s="84" t="e">
        <f>TRIM(INVOICE!#REF!)</f>
        <v>#REF!</v>
      </c>
    </row>
    <row r="352" spans="1:3" ht="25" customHeight="1" x14ac:dyDescent="0.25">
      <c r="A352" s="94"/>
      <c r="B352" s="86" t="e">
        <f>TRIM(INVOICE!#REF!)</f>
        <v>#REF!</v>
      </c>
      <c r="C352" s="84" t="e">
        <f>TRIM(INVOICE!#REF!)</f>
        <v>#REF!</v>
      </c>
    </row>
    <row r="353" spans="1:3" ht="25" customHeight="1" x14ac:dyDescent="0.25">
      <c r="A353" s="29"/>
      <c r="B353" s="86" t="e">
        <f>TRIM(INVOICE!#REF!)</f>
        <v>#REF!</v>
      </c>
      <c r="C353" s="84" t="e">
        <f>TRIM(INVOICE!#REF!)</f>
        <v>#REF!</v>
      </c>
    </row>
    <row r="354" spans="1:3" ht="25" customHeight="1" x14ac:dyDescent="0.25">
      <c r="A354" s="29"/>
      <c r="B354" s="86" t="e">
        <f>TRIM(INVOICE!#REF!)</f>
        <v>#REF!</v>
      </c>
      <c r="C354" s="84" t="e">
        <f>TRIM(INVOICE!#REF!)</f>
        <v>#REF!</v>
      </c>
    </row>
    <row r="355" spans="1:3" ht="25" customHeight="1" x14ac:dyDescent="0.25">
      <c r="A355" s="29"/>
      <c r="B355" s="86" t="e">
        <f>TRIM(INVOICE!#REF!)</f>
        <v>#REF!</v>
      </c>
      <c r="C355" s="84" t="e">
        <f>TRIM(INVOICE!#REF!)</f>
        <v>#REF!</v>
      </c>
    </row>
    <row r="356" spans="1:3" ht="25" customHeight="1" thickBot="1" x14ac:dyDescent="0.3">
      <c r="A356" s="29"/>
      <c r="B356" s="89" t="e">
        <f>TRIM(INVOICE!#REF!)</f>
        <v>#REF!</v>
      </c>
      <c r="C356" s="90" t="e">
        <f>TRIM(INVOICE!#REF!)</f>
        <v>#REF!</v>
      </c>
    </row>
    <row r="357" spans="1:3" ht="37.5" customHeight="1" x14ac:dyDescent="0.25">
      <c r="A357" s="29"/>
      <c r="B357" s="35" t="e">
        <f>TRIM(INVOICE!#REF!)</f>
        <v>#REF!</v>
      </c>
      <c r="C357" s="36" t="e">
        <f>TRIM(INVOICE!#REF!)</f>
        <v>#REF!</v>
      </c>
    </row>
    <row r="358" spans="1:3" ht="37.5" customHeight="1" x14ac:dyDescent="0.25">
      <c r="A358" s="29"/>
      <c r="B358" s="34" t="e">
        <f>TRIM(INVOICE!#REF!)</f>
        <v>#REF!</v>
      </c>
      <c r="C358" s="75" t="e">
        <f>TRIM(INVOICE!#REF!)</f>
        <v>#REF!</v>
      </c>
    </row>
    <row r="359" spans="1:3" ht="37.5" customHeight="1" x14ac:dyDescent="0.25">
      <c r="A359" s="29"/>
      <c r="B359" s="34" t="e">
        <f>TRIM(INVOICE!#REF!)</f>
        <v>#REF!</v>
      </c>
      <c r="C359" s="75" t="e">
        <f>TRIM(INVOICE!#REF!)</f>
        <v>#REF!</v>
      </c>
    </row>
    <row r="360" spans="1:3" ht="37.5" customHeight="1" x14ac:dyDescent="0.25">
      <c r="A360" s="29"/>
      <c r="B360" s="34" t="e">
        <f>TRIM(INVOICE!#REF!)</f>
        <v>#REF!</v>
      </c>
      <c r="C360" s="75" t="e">
        <f>TRIM(INVOICE!#REF!)</f>
        <v>#REF!</v>
      </c>
    </row>
    <row r="361" spans="1:3" ht="37.5" customHeight="1" x14ac:dyDescent="0.25">
      <c r="A361" s="29"/>
      <c r="B361" s="34" t="e">
        <f>TRIM(INVOICE!#REF!)</f>
        <v>#REF!</v>
      </c>
      <c r="C361" s="75" t="e">
        <f>TRIM(INVOICE!#REF!)</f>
        <v>#REF!</v>
      </c>
    </row>
    <row r="362" spans="1:3" ht="91.5" customHeight="1" x14ac:dyDescent="0.25">
      <c r="A362" s="29"/>
      <c r="B362" s="189"/>
      <c r="C362" s="190"/>
    </row>
    <row r="363" spans="1:3" ht="12.75" customHeight="1" x14ac:dyDescent="0.25">
      <c r="A363" s="28"/>
      <c r="B363" s="28"/>
      <c r="C363" s="73"/>
    </row>
    <row r="364" spans="1:3" ht="12.75" customHeight="1" x14ac:dyDescent="0.25">
      <c r="A364" s="28"/>
      <c r="B364" s="28"/>
      <c r="C364" s="73"/>
    </row>
    <row r="365" spans="1:3" ht="24.75" customHeight="1" x14ac:dyDescent="0.25"/>
    <row r="366" spans="1:3" ht="27" customHeight="1" x14ac:dyDescent="0.25"/>
    <row r="367" spans="1:3" ht="75" customHeight="1" x14ac:dyDescent="0.25"/>
    <row r="368" spans="1:3" ht="37.5" customHeight="1" x14ac:dyDescent="0.25"/>
    <row r="369" spans="1:3" ht="60" customHeight="1" x14ac:dyDescent="0.25"/>
    <row r="370" spans="1:3" ht="39.75" customHeight="1" x14ac:dyDescent="0.25"/>
    <row r="371" spans="1:3" ht="12.75" customHeight="1" x14ac:dyDescent="0.25"/>
    <row r="372" spans="1:3" ht="12.75" customHeight="1" x14ac:dyDescent="0.25"/>
    <row r="373" spans="1:3" ht="39.75" customHeight="1" x14ac:dyDescent="0.25"/>
    <row r="374" spans="1:3" ht="37.5" customHeight="1" x14ac:dyDescent="0.25"/>
    <row r="375" spans="1:3" ht="37.5" customHeight="1" x14ac:dyDescent="0.25"/>
    <row r="376" spans="1:3" ht="37.5" customHeight="1" x14ac:dyDescent="0.25"/>
    <row r="377" spans="1:3" ht="37.5" customHeight="1" x14ac:dyDescent="0.25"/>
    <row r="378" spans="1:3" ht="37.5" customHeight="1" x14ac:dyDescent="0.25"/>
    <row r="379" spans="1:3" ht="37.5" customHeight="1" x14ac:dyDescent="0.25"/>
    <row r="380" spans="1:3" ht="37.5" customHeight="1" x14ac:dyDescent="0.25">
      <c r="A380" s="28"/>
      <c r="B380" s="28"/>
      <c r="C380" s="73"/>
    </row>
    <row r="381" spans="1:3" ht="37.5" customHeight="1" x14ac:dyDescent="0.25">
      <c r="A381" s="28"/>
      <c r="B381" s="28"/>
      <c r="C381" s="73"/>
    </row>
    <row r="382" spans="1:3" ht="37.5" customHeight="1" x14ac:dyDescent="0.25">
      <c r="A382" s="28"/>
      <c r="B382" s="28"/>
      <c r="C382" s="73"/>
    </row>
    <row r="383" spans="1:3" ht="37.5" customHeight="1" x14ac:dyDescent="0.25">
      <c r="A383" s="28"/>
      <c r="B383" s="28"/>
      <c r="C383" s="73"/>
    </row>
    <row r="384" spans="1:3" ht="91.5" customHeight="1" x14ac:dyDescent="0.25">
      <c r="A384" s="28"/>
      <c r="B384" s="28"/>
      <c r="C384" s="73"/>
    </row>
    <row r="385" spans="1:3" ht="12.75" customHeight="1" x14ac:dyDescent="0.25">
      <c r="A385" s="28"/>
      <c r="B385" s="28"/>
      <c r="C385" s="73"/>
    </row>
    <row r="386" spans="1:3" ht="12.75" customHeight="1" x14ac:dyDescent="0.25">
      <c r="A386" s="28"/>
      <c r="B386" s="28"/>
      <c r="C386" s="73"/>
    </row>
    <row r="387" spans="1:3" ht="24" customHeight="1" x14ac:dyDescent="0.25">
      <c r="A387" s="28"/>
      <c r="B387" s="28"/>
      <c r="C387" s="73"/>
    </row>
    <row r="388" spans="1:3" ht="26.25" customHeight="1" x14ac:dyDescent="0.25">
      <c r="A388" s="28"/>
      <c r="B388" s="28"/>
      <c r="C388" s="73"/>
    </row>
    <row r="389" spans="1:3" ht="75" customHeight="1" x14ac:dyDescent="0.25">
      <c r="A389" s="28"/>
      <c r="B389" s="28"/>
      <c r="C389" s="73"/>
    </row>
    <row r="390" spans="1:3" ht="37.5" customHeight="1" x14ac:dyDescent="0.25">
      <c r="A390" s="28"/>
      <c r="B390" s="28"/>
      <c r="C390" s="73"/>
    </row>
    <row r="391" spans="1:3" ht="60" customHeight="1" x14ac:dyDescent="0.25">
      <c r="A391" s="28"/>
      <c r="B391" s="28"/>
      <c r="C391" s="73"/>
    </row>
    <row r="392" spans="1:3" ht="39.75" customHeight="1" x14ac:dyDescent="0.25">
      <c r="A392" s="28"/>
      <c r="B392" s="28"/>
      <c r="C392" s="73"/>
    </row>
    <row r="393" spans="1:3" ht="12.75" customHeight="1" x14ac:dyDescent="0.25">
      <c r="A393" s="28"/>
      <c r="B393" s="28"/>
      <c r="C393" s="73"/>
    </row>
    <row r="394" spans="1:3" ht="12.75" customHeight="1" x14ac:dyDescent="0.25">
      <c r="A394" s="28"/>
      <c r="B394" s="28"/>
      <c r="C394" s="73"/>
    </row>
    <row r="395" spans="1:3" ht="39.75" customHeight="1" x14ac:dyDescent="0.25">
      <c r="A395" s="28"/>
      <c r="B395" s="28"/>
      <c r="C395" s="73"/>
    </row>
    <row r="396" spans="1:3" ht="37.5" customHeight="1" x14ac:dyDescent="0.25">
      <c r="A396" s="28"/>
      <c r="B396" s="28"/>
      <c r="C396" s="73"/>
    </row>
    <row r="397" spans="1:3" ht="37.5" customHeight="1" x14ac:dyDescent="0.25">
      <c r="A397" s="28"/>
      <c r="B397" s="28"/>
      <c r="C397" s="73"/>
    </row>
    <row r="398" spans="1:3" ht="37.5" customHeight="1" x14ac:dyDescent="0.25">
      <c r="A398" s="28"/>
      <c r="B398" s="28"/>
      <c r="C398" s="73"/>
    </row>
    <row r="399" spans="1:3" ht="37.5" customHeight="1" x14ac:dyDescent="0.25">
      <c r="A399" s="28"/>
      <c r="B399" s="28"/>
      <c r="C399" s="73"/>
    </row>
    <row r="400" spans="1:3" ht="37.5" customHeight="1" x14ac:dyDescent="0.25">
      <c r="A400" s="28"/>
      <c r="B400" s="28"/>
      <c r="C400" s="73"/>
    </row>
    <row r="401" spans="1:3" ht="37.5" customHeight="1" x14ac:dyDescent="0.25">
      <c r="A401" s="28"/>
      <c r="B401" s="28"/>
      <c r="C401" s="73"/>
    </row>
    <row r="402" spans="1:3" ht="37.5" customHeight="1" x14ac:dyDescent="0.25">
      <c r="A402" s="28"/>
      <c r="B402" s="28"/>
      <c r="C402" s="73"/>
    </row>
    <row r="403" spans="1:3" ht="37.5" customHeight="1" x14ac:dyDescent="0.25">
      <c r="A403" s="28"/>
      <c r="B403" s="28"/>
      <c r="C403" s="73"/>
    </row>
    <row r="404" spans="1:3" ht="37.5" customHeight="1" x14ac:dyDescent="0.25">
      <c r="A404" s="28"/>
      <c r="B404" s="28"/>
      <c r="C404" s="73"/>
    </row>
    <row r="405" spans="1:3" ht="37.5" customHeight="1" x14ac:dyDescent="0.25">
      <c r="A405" s="28"/>
      <c r="B405" s="28"/>
      <c r="C405" s="73"/>
    </row>
    <row r="406" spans="1:3" ht="91.5" customHeight="1" x14ac:dyDescent="0.25">
      <c r="A406" s="28"/>
      <c r="B406" s="28"/>
      <c r="C406" s="73"/>
    </row>
    <row r="407" spans="1:3" ht="12.75" customHeight="1" x14ac:dyDescent="0.25">
      <c r="A407" s="28"/>
      <c r="B407" s="28"/>
      <c r="C407" s="73"/>
    </row>
    <row r="408" spans="1:3" ht="12.75" customHeight="1" x14ac:dyDescent="0.25">
      <c r="A408" s="28"/>
      <c r="B408" s="28"/>
      <c r="C408" s="73"/>
    </row>
    <row r="409" spans="1:3" ht="12.75" customHeight="1" x14ac:dyDescent="0.25">
      <c r="A409" s="28"/>
      <c r="B409" s="28"/>
      <c r="C409" s="73"/>
    </row>
    <row r="410" spans="1:3" ht="12.75" customHeight="1" x14ac:dyDescent="0.25">
      <c r="A410" s="28"/>
      <c r="B410" s="28"/>
      <c r="C410" s="73"/>
    </row>
    <row r="411" spans="1:3" ht="12.75" customHeight="1" x14ac:dyDescent="0.25">
      <c r="A411" s="28"/>
      <c r="B411" s="28"/>
      <c r="C411" s="73"/>
    </row>
    <row r="412" spans="1:3" ht="12.75" customHeight="1" x14ac:dyDescent="0.25">
      <c r="A412" s="28"/>
      <c r="B412" s="28"/>
      <c r="C412" s="73"/>
    </row>
    <row r="413" spans="1:3" ht="12.75" customHeight="1" x14ac:dyDescent="0.25">
      <c r="A413" s="28"/>
      <c r="B413" s="28"/>
      <c r="C413" s="73"/>
    </row>
    <row r="414" spans="1:3" ht="12.75" customHeight="1" x14ac:dyDescent="0.25">
      <c r="A414" s="28"/>
      <c r="B414" s="28"/>
      <c r="C414" s="73"/>
    </row>
    <row r="415" spans="1:3" ht="12.75" customHeight="1" x14ac:dyDescent="0.25">
      <c r="A415" s="28"/>
      <c r="B415" s="28"/>
      <c r="C415" s="73"/>
    </row>
    <row r="416" spans="1:3" ht="12.75" customHeight="1" x14ac:dyDescent="0.25">
      <c r="A416" s="28"/>
      <c r="B416" s="28"/>
      <c r="C416" s="73"/>
    </row>
    <row r="417" spans="1:3" ht="12.75" customHeight="1" x14ac:dyDescent="0.25">
      <c r="A417" s="28"/>
      <c r="B417" s="28"/>
      <c r="C417" s="73"/>
    </row>
    <row r="418" spans="1:3" ht="12.75" customHeight="1" x14ac:dyDescent="0.25">
      <c r="A418" s="28"/>
      <c r="B418" s="28"/>
      <c r="C418" s="73"/>
    </row>
    <row r="419" spans="1:3" ht="12.75" customHeight="1" x14ac:dyDescent="0.25">
      <c r="A419" s="28"/>
      <c r="B419" s="28"/>
      <c r="C419" s="73"/>
    </row>
    <row r="420" spans="1:3" ht="12.75" customHeight="1" x14ac:dyDescent="0.25">
      <c r="A420" s="28"/>
      <c r="B420" s="28"/>
      <c r="C420" s="73"/>
    </row>
    <row r="421" spans="1:3" ht="12.75" customHeight="1" x14ac:dyDescent="0.25">
      <c r="A421" s="28"/>
      <c r="B421" s="28"/>
      <c r="C421" s="73"/>
    </row>
    <row r="422" spans="1:3" ht="12.75" customHeight="1" x14ac:dyDescent="0.25">
      <c r="A422" s="28"/>
      <c r="B422" s="28"/>
      <c r="C422" s="73"/>
    </row>
    <row r="423" spans="1:3" ht="12.75" customHeight="1" x14ac:dyDescent="0.25">
      <c r="A423" s="28"/>
      <c r="B423" s="28"/>
      <c r="C423" s="73"/>
    </row>
    <row r="424" spans="1:3" ht="12.75" customHeight="1" x14ac:dyDescent="0.25">
      <c r="A424" s="28"/>
      <c r="B424" s="28"/>
      <c r="C424" s="73"/>
    </row>
    <row r="425" spans="1:3" ht="12.75" customHeight="1" x14ac:dyDescent="0.25">
      <c r="A425" s="28"/>
      <c r="B425" s="28"/>
      <c r="C425" s="73"/>
    </row>
    <row r="426" spans="1:3" ht="12.75" customHeight="1" x14ac:dyDescent="0.25">
      <c r="A426" s="28"/>
      <c r="B426" s="28"/>
      <c r="C426" s="73"/>
    </row>
    <row r="427" spans="1:3" ht="12.75" customHeight="1" x14ac:dyDescent="0.25">
      <c r="A427" s="28"/>
      <c r="B427" s="28"/>
      <c r="C427" s="73"/>
    </row>
    <row r="428" spans="1:3" ht="12.75" customHeight="1" x14ac:dyDescent="0.25">
      <c r="A428" s="28"/>
      <c r="B428" s="28"/>
      <c r="C428" s="73"/>
    </row>
    <row r="429" spans="1:3" ht="12.75" customHeight="1" x14ac:dyDescent="0.25">
      <c r="A429" s="28"/>
      <c r="B429" s="28"/>
      <c r="C429" s="73"/>
    </row>
    <row r="430" spans="1:3" ht="12.75" customHeight="1" x14ac:dyDescent="0.25">
      <c r="A430" s="28"/>
      <c r="B430" s="28"/>
      <c r="C430" s="73"/>
    </row>
    <row r="431" spans="1:3" ht="12.75" customHeight="1" x14ac:dyDescent="0.25">
      <c r="A431" s="28"/>
      <c r="B431" s="28"/>
      <c r="C431" s="73"/>
    </row>
    <row r="432" spans="1:3" ht="12.75" customHeight="1" x14ac:dyDescent="0.25">
      <c r="A432" s="28"/>
      <c r="B432" s="28"/>
      <c r="C432" s="73"/>
    </row>
    <row r="433" spans="1:3" ht="12.75" customHeight="1" x14ac:dyDescent="0.25">
      <c r="A433" s="28"/>
      <c r="B433" s="28"/>
      <c r="C433" s="73"/>
    </row>
    <row r="434" spans="1:3" ht="12.75" customHeight="1" x14ac:dyDescent="0.25">
      <c r="A434" s="28"/>
      <c r="B434" s="28"/>
      <c r="C434" s="73"/>
    </row>
    <row r="435" spans="1:3" ht="12.75" customHeight="1" x14ac:dyDescent="0.25">
      <c r="A435" s="28"/>
      <c r="B435" s="28"/>
      <c r="C435" s="73"/>
    </row>
    <row r="436" spans="1:3" ht="12.75" customHeight="1" x14ac:dyDescent="0.25">
      <c r="A436" s="28"/>
      <c r="B436" s="28"/>
      <c r="C436" s="73"/>
    </row>
    <row r="437" spans="1:3" ht="12.75" customHeight="1" x14ac:dyDescent="0.25">
      <c r="A437" s="28"/>
      <c r="B437" s="28"/>
      <c r="C437" s="73"/>
    </row>
    <row r="438" spans="1:3" ht="12.75" customHeight="1" x14ac:dyDescent="0.25">
      <c r="A438" s="28"/>
      <c r="B438" s="28"/>
      <c r="C438" s="73"/>
    </row>
    <row r="439" spans="1:3" ht="12.75" customHeight="1" x14ac:dyDescent="0.25">
      <c r="A439" s="28"/>
      <c r="B439" s="28"/>
      <c r="C439" s="73"/>
    </row>
    <row r="440" spans="1:3" ht="12.75" customHeight="1" x14ac:dyDescent="0.25">
      <c r="A440" s="28"/>
      <c r="B440" s="28"/>
      <c r="C440" s="73"/>
    </row>
    <row r="441" spans="1:3" ht="12.75" customHeight="1" x14ac:dyDescent="0.25">
      <c r="A441" s="28"/>
      <c r="B441" s="28"/>
      <c r="C441" s="73"/>
    </row>
    <row r="442" spans="1:3" ht="12.75" customHeight="1" x14ac:dyDescent="0.25">
      <c r="A442" s="28"/>
      <c r="B442" s="28"/>
      <c r="C442" s="73"/>
    </row>
    <row r="443" spans="1:3" ht="12.75" customHeight="1" x14ac:dyDescent="0.25">
      <c r="A443" s="28"/>
      <c r="B443" s="28"/>
      <c r="C443" s="73"/>
    </row>
    <row r="444" spans="1:3" ht="12.75" customHeight="1" x14ac:dyDescent="0.25">
      <c r="A444" s="28"/>
      <c r="B444" s="28"/>
      <c r="C444" s="73"/>
    </row>
    <row r="445" spans="1:3" ht="12.75" customHeight="1" x14ac:dyDescent="0.25">
      <c r="A445" s="28"/>
      <c r="B445" s="28"/>
      <c r="C445" s="73"/>
    </row>
    <row r="446" spans="1:3" ht="12.75" customHeight="1" x14ac:dyDescent="0.25">
      <c r="A446" s="28"/>
      <c r="B446" s="28"/>
      <c r="C446" s="73"/>
    </row>
    <row r="447" spans="1:3" ht="12.75" customHeight="1" x14ac:dyDescent="0.25">
      <c r="A447" s="28"/>
      <c r="B447" s="28"/>
      <c r="C447" s="73"/>
    </row>
    <row r="448" spans="1:3" ht="12.75" customHeight="1" x14ac:dyDescent="0.25">
      <c r="A448" s="28"/>
      <c r="B448" s="28"/>
      <c r="C448" s="73"/>
    </row>
    <row r="449" spans="1:3" ht="12.75" customHeight="1" x14ac:dyDescent="0.25">
      <c r="A449" s="28"/>
      <c r="B449" s="28"/>
      <c r="C449" s="73"/>
    </row>
    <row r="450" spans="1:3" ht="12.75" customHeight="1" x14ac:dyDescent="0.25">
      <c r="A450" s="28"/>
      <c r="B450" s="28"/>
      <c r="C450" s="73"/>
    </row>
    <row r="451" spans="1:3" ht="12.75" customHeight="1" x14ac:dyDescent="0.25">
      <c r="A451" s="28"/>
      <c r="B451" s="28"/>
      <c r="C451" s="73"/>
    </row>
    <row r="452" spans="1:3" ht="12.75" customHeight="1" x14ac:dyDescent="0.25">
      <c r="A452" s="28"/>
      <c r="B452" s="28"/>
      <c r="C452" s="73"/>
    </row>
    <row r="453" spans="1:3" ht="12.75" customHeight="1" x14ac:dyDescent="0.25">
      <c r="A453" s="28"/>
      <c r="B453" s="28"/>
      <c r="C453" s="73"/>
    </row>
    <row r="454" spans="1:3" ht="12.75" customHeight="1" x14ac:dyDescent="0.25">
      <c r="A454" s="28"/>
      <c r="B454" s="28"/>
      <c r="C454" s="73"/>
    </row>
    <row r="455" spans="1:3" ht="12.75" customHeight="1" x14ac:dyDescent="0.25">
      <c r="A455" s="28"/>
      <c r="B455" s="28"/>
      <c r="C455" s="73"/>
    </row>
    <row r="456" spans="1:3" ht="12.75" customHeight="1" x14ac:dyDescent="0.25">
      <c r="A456" s="28"/>
      <c r="B456" s="28"/>
      <c r="C456" s="73"/>
    </row>
    <row r="457" spans="1:3" ht="12.75" customHeight="1" x14ac:dyDescent="0.25">
      <c r="A457" s="28"/>
      <c r="B457" s="28"/>
      <c r="C457" s="73"/>
    </row>
    <row r="458" spans="1:3" ht="12.75" customHeight="1" x14ac:dyDescent="0.25">
      <c r="A458" s="28"/>
      <c r="B458" s="28"/>
      <c r="C458" s="73"/>
    </row>
    <row r="459" spans="1:3" ht="12.75" customHeight="1" x14ac:dyDescent="0.25">
      <c r="A459" s="28"/>
      <c r="B459" s="28"/>
      <c r="C459" s="73"/>
    </row>
    <row r="460" spans="1:3" ht="12.75" customHeight="1" x14ac:dyDescent="0.25">
      <c r="A460" s="28"/>
      <c r="B460" s="28"/>
      <c r="C460" s="73"/>
    </row>
    <row r="461" spans="1:3" ht="12.75" customHeight="1" x14ac:dyDescent="0.25">
      <c r="A461" s="28"/>
      <c r="B461" s="28"/>
      <c r="C461" s="73"/>
    </row>
    <row r="462" spans="1:3" ht="12.75" customHeight="1" x14ac:dyDescent="0.25">
      <c r="A462" s="28"/>
      <c r="B462" s="28"/>
      <c r="C462" s="73"/>
    </row>
    <row r="463" spans="1:3" ht="12.75" customHeight="1" x14ac:dyDescent="0.25">
      <c r="A463" s="28"/>
      <c r="B463" s="28"/>
      <c r="C463" s="73"/>
    </row>
    <row r="464" spans="1:3" ht="12.75" customHeight="1" x14ac:dyDescent="0.25">
      <c r="A464" s="28"/>
      <c r="B464" s="28"/>
      <c r="C464" s="73"/>
    </row>
    <row r="465" spans="1:3" ht="12.75" customHeight="1" x14ac:dyDescent="0.25">
      <c r="A465" s="28"/>
      <c r="B465" s="28"/>
      <c r="C465" s="73"/>
    </row>
    <row r="466" spans="1:3" ht="12.75" customHeight="1" x14ac:dyDescent="0.25">
      <c r="A466" s="28"/>
      <c r="B466" s="28"/>
      <c r="C466" s="73"/>
    </row>
    <row r="467" spans="1:3" ht="12.75" customHeight="1" x14ac:dyDescent="0.25">
      <c r="A467" s="28"/>
      <c r="B467" s="28"/>
      <c r="C467" s="73"/>
    </row>
    <row r="468" spans="1:3" ht="12.75" customHeight="1" x14ac:dyDescent="0.25">
      <c r="A468" s="28"/>
      <c r="B468" s="28"/>
      <c r="C468" s="73"/>
    </row>
    <row r="469" spans="1:3" ht="12.75" customHeight="1" x14ac:dyDescent="0.25">
      <c r="A469" s="28"/>
      <c r="B469" s="28"/>
      <c r="C469" s="73"/>
    </row>
    <row r="470" spans="1:3" ht="12.75" customHeight="1" x14ac:dyDescent="0.25">
      <c r="A470" s="28"/>
      <c r="B470" s="28"/>
      <c r="C470" s="73"/>
    </row>
    <row r="471" spans="1:3" ht="12.75" customHeight="1" x14ac:dyDescent="0.25">
      <c r="A471" s="28"/>
      <c r="B471" s="28"/>
      <c r="C471" s="73"/>
    </row>
    <row r="472" spans="1:3" ht="12.75" customHeight="1" x14ac:dyDescent="0.25">
      <c r="A472" s="28"/>
      <c r="B472" s="28"/>
      <c r="C472" s="73"/>
    </row>
    <row r="473" spans="1:3" ht="12.75" customHeight="1" x14ac:dyDescent="0.25">
      <c r="A473" s="28"/>
      <c r="B473" s="28"/>
      <c r="C473" s="73"/>
    </row>
    <row r="474" spans="1:3" ht="12.75" customHeight="1" x14ac:dyDescent="0.25">
      <c r="A474" s="28"/>
      <c r="B474" s="28"/>
      <c r="C474" s="73"/>
    </row>
    <row r="475" spans="1:3" ht="12.75" customHeight="1" x14ac:dyDescent="0.25">
      <c r="A475" s="28"/>
      <c r="B475" s="28"/>
      <c r="C475" s="73"/>
    </row>
    <row r="476" spans="1:3" ht="12.75" customHeight="1" x14ac:dyDescent="0.25">
      <c r="A476" s="28"/>
      <c r="B476" s="28"/>
      <c r="C476" s="73"/>
    </row>
    <row r="477" spans="1:3" ht="12.75" customHeight="1" x14ac:dyDescent="0.25">
      <c r="A477" s="28"/>
      <c r="B477" s="28"/>
      <c r="C477" s="73"/>
    </row>
    <row r="478" spans="1:3" ht="12.75" customHeight="1" x14ac:dyDescent="0.25">
      <c r="A478" s="28"/>
      <c r="B478" s="28"/>
      <c r="C478" s="73"/>
    </row>
    <row r="479" spans="1:3" ht="12.75" customHeight="1" x14ac:dyDescent="0.25">
      <c r="A479" s="28"/>
      <c r="B479" s="28"/>
      <c r="C479" s="73"/>
    </row>
    <row r="480" spans="1:3" ht="12.75" customHeight="1" x14ac:dyDescent="0.25">
      <c r="A480" s="28"/>
      <c r="B480" s="28"/>
      <c r="C480" s="73"/>
    </row>
    <row r="481" spans="1:3" ht="12.75" customHeight="1" x14ac:dyDescent="0.25">
      <c r="A481" s="28"/>
      <c r="B481" s="28"/>
      <c r="C481" s="73"/>
    </row>
    <row r="482" spans="1:3" ht="12.75" customHeight="1" x14ac:dyDescent="0.25">
      <c r="A482" s="28"/>
      <c r="B482" s="28"/>
      <c r="C482" s="73"/>
    </row>
    <row r="483" spans="1:3" ht="12.75" customHeight="1" x14ac:dyDescent="0.25">
      <c r="A483" s="28"/>
      <c r="B483" s="28"/>
      <c r="C483" s="73"/>
    </row>
    <row r="484" spans="1:3" ht="12.75" customHeight="1" x14ac:dyDescent="0.25">
      <c r="A484" s="28"/>
      <c r="B484" s="28"/>
      <c r="C484" s="73"/>
    </row>
    <row r="485" spans="1:3" ht="12.75" customHeight="1" x14ac:dyDescent="0.25">
      <c r="A485" s="28"/>
      <c r="B485" s="28"/>
      <c r="C485" s="73"/>
    </row>
    <row r="486" spans="1:3" ht="12.75" customHeight="1" x14ac:dyDescent="0.25">
      <c r="A486" s="28"/>
      <c r="B486" s="28"/>
      <c r="C486" s="73"/>
    </row>
    <row r="487" spans="1:3" ht="12.75" customHeight="1" x14ac:dyDescent="0.25">
      <c r="A487" s="28"/>
      <c r="B487" s="28"/>
      <c r="C487" s="73"/>
    </row>
    <row r="488" spans="1:3" ht="12.75" customHeight="1" x14ac:dyDescent="0.25">
      <c r="A488" s="28"/>
      <c r="B488" s="28"/>
      <c r="C488" s="73"/>
    </row>
    <row r="489" spans="1:3" ht="12.75" customHeight="1" x14ac:dyDescent="0.25">
      <c r="A489" s="28"/>
      <c r="B489" s="28"/>
      <c r="C489" s="73"/>
    </row>
    <row r="490" spans="1:3" ht="12.75" customHeight="1" x14ac:dyDescent="0.25">
      <c r="A490" s="28"/>
      <c r="B490" s="28"/>
      <c r="C490" s="73"/>
    </row>
    <row r="491" spans="1:3" ht="12.75" customHeight="1" x14ac:dyDescent="0.25">
      <c r="A491" s="28"/>
      <c r="B491" s="28"/>
      <c r="C491" s="73"/>
    </row>
    <row r="492" spans="1:3" ht="12.75" customHeight="1" x14ac:dyDescent="0.25">
      <c r="A492" s="28"/>
      <c r="B492" s="28"/>
      <c r="C492" s="73"/>
    </row>
    <row r="493" spans="1:3" ht="12.75" customHeight="1" x14ac:dyDescent="0.25">
      <c r="A493" s="28"/>
      <c r="B493" s="28"/>
      <c r="C493" s="73"/>
    </row>
    <row r="494" spans="1:3" ht="12.75" customHeight="1" x14ac:dyDescent="0.25">
      <c r="A494" s="28"/>
      <c r="B494" s="28"/>
      <c r="C494" s="73"/>
    </row>
    <row r="495" spans="1:3" ht="12.75" customHeight="1" x14ac:dyDescent="0.25">
      <c r="A495" s="28"/>
      <c r="B495" s="28"/>
      <c r="C495" s="73"/>
    </row>
    <row r="496" spans="1:3" ht="12.75" customHeight="1" x14ac:dyDescent="0.25">
      <c r="A496" s="28"/>
      <c r="B496" s="28"/>
      <c r="C496" s="73"/>
    </row>
    <row r="497" spans="1:3" ht="12.75" customHeight="1" x14ac:dyDescent="0.25">
      <c r="A497" s="28"/>
      <c r="B497" s="28"/>
      <c r="C497" s="73"/>
    </row>
    <row r="498" spans="1:3" ht="12.75" customHeight="1" x14ac:dyDescent="0.25">
      <c r="A498" s="28"/>
      <c r="B498" s="28"/>
      <c r="C498" s="73"/>
    </row>
    <row r="499" spans="1:3" ht="12.75" customHeight="1" x14ac:dyDescent="0.25">
      <c r="A499" s="28"/>
      <c r="B499" s="28"/>
      <c r="C499" s="73"/>
    </row>
    <row r="500" spans="1:3" ht="12.75" customHeight="1" x14ac:dyDescent="0.25">
      <c r="A500" s="28"/>
      <c r="B500" s="28"/>
      <c r="C500" s="73"/>
    </row>
    <row r="501" spans="1:3" ht="12.75" customHeight="1" x14ac:dyDescent="0.25">
      <c r="A501" s="28"/>
      <c r="B501" s="28"/>
      <c r="C501" s="73"/>
    </row>
    <row r="502" spans="1:3" ht="12.75" customHeight="1" x14ac:dyDescent="0.25">
      <c r="A502" s="28"/>
      <c r="B502" s="28"/>
      <c r="C502" s="73"/>
    </row>
    <row r="503" spans="1:3" ht="12.75" customHeight="1" x14ac:dyDescent="0.25">
      <c r="A503" s="28"/>
      <c r="B503" s="28"/>
      <c r="C503" s="73"/>
    </row>
    <row r="504" spans="1:3" ht="12.75" customHeight="1" x14ac:dyDescent="0.25">
      <c r="A504" s="28"/>
      <c r="B504" s="28"/>
      <c r="C504" s="73"/>
    </row>
    <row r="505" spans="1:3" ht="12.75" customHeight="1" x14ac:dyDescent="0.25">
      <c r="A505" s="28"/>
      <c r="B505" s="28"/>
      <c r="C505" s="73"/>
    </row>
    <row r="506" spans="1:3" ht="12.75" customHeight="1" x14ac:dyDescent="0.25">
      <c r="A506" s="28"/>
      <c r="B506" s="28"/>
      <c r="C506" s="73"/>
    </row>
    <row r="507" spans="1:3" ht="12.75" customHeight="1" x14ac:dyDescent="0.25">
      <c r="A507" s="28"/>
      <c r="B507" s="28"/>
      <c r="C507" s="73"/>
    </row>
    <row r="508" spans="1:3" ht="12.75" customHeight="1" x14ac:dyDescent="0.25">
      <c r="A508" s="28"/>
      <c r="B508" s="28"/>
      <c r="C508" s="73"/>
    </row>
    <row r="509" spans="1:3" ht="12.75" customHeight="1" x14ac:dyDescent="0.25">
      <c r="A509" s="28"/>
      <c r="B509" s="28"/>
      <c r="C509" s="73"/>
    </row>
    <row r="510" spans="1:3" ht="12.75" customHeight="1" x14ac:dyDescent="0.25">
      <c r="A510" s="28"/>
      <c r="B510" s="28"/>
      <c r="C510" s="73"/>
    </row>
    <row r="511" spans="1:3" ht="12.75" customHeight="1" x14ac:dyDescent="0.25">
      <c r="A511" s="28"/>
      <c r="B511" s="28"/>
      <c r="C511" s="73"/>
    </row>
    <row r="512" spans="1:3" ht="12.75" customHeight="1" x14ac:dyDescent="0.25">
      <c r="A512" s="28"/>
      <c r="B512" s="28"/>
      <c r="C512" s="73"/>
    </row>
    <row r="513" spans="1:3" ht="12.75" customHeight="1" x14ac:dyDescent="0.25">
      <c r="A513" s="28"/>
      <c r="B513" s="28"/>
      <c r="C513" s="73"/>
    </row>
    <row r="514" spans="1:3" ht="12.75" customHeight="1" x14ac:dyDescent="0.25">
      <c r="A514" s="28"/>
      <c r="B514" s="28"/>
      <c r="C514" s="73"/>
    </row>
    <row r="515" spans="1:3" ht="12.75" customHeight="1" x14ac:dyDescent="0.25">
      <c r="A515" s="28"/>
      <c r="B515" s="28"/>
      <c r="C515" s="73"/>
    </row>
    <row r="516" spans="1:3" ht="12.75" customHeight="1" x14ac:dyDescent="0.25">
      <c r="A516" s="28"/>
      <c r="B516" s="28"/>
      <c r="C516" s="73"/>
    </row>
    <row r="517" spans="1:3" ht="12.75" customHeight="1" x14ac:dyDescent="0.25">
      <c r="A517" s="28"/>
      <c r="B517" s="28"/>
      <c r="C517" s="73"/>
    </row>
    <row r="518" spans="1:3" ht="12.75" customHeight="1" x14ac:dyDescent="0.25">
      <c r="A518" s="28"/>
      <c r="B518" s="28"/>
      <c r="C518" s="73"/>
    </row>
    <row r="519" spans="1:3" ht="12.75" customHeight="1" x14ac:dyDescent="0.25">
      <c r="A519" s="28"/>
      <c r="B519" s="28"/>
      <c r="C519" s="73"/>
    </row>
    <row r="520" spans="1:3" ht="12.75" customHeight="1" x14ac:dyDescent="0.25">
      <c r="A520" s="28"/>
      <c r="B520" s="28"/>
      <c r="C520" s="73"/>
    </row>
    <row r="521" spans="1:3" ht="12.75" customHeight="1" x14ac:dyDescent="0.25">
      <c r="A521" s="28"/>
      <c r="B521" s="28"/>
      <c r="C521" s="73"/>
    </row>
    <row r="522" spans="1:3" ht="12.75" customHeight="1" x14ac:dyDescent="0.25">
      <c r="A522" s="28"/>
      <c r="B522" s="28"/>
      <c r="C522" s="73"/>
    </row>
    <row r="523" spans="1:3" ht="12.75" customHeight="1" x14ac:dyDescent="0.25">
      <c r="A523" s="28"/>
      <c r="B523" s="28"/>
      <c r="C523" s="73"/>
    </row>
    <row r="524" spans="1:3" ht="12.75" customHeight="1" x14ac:dyDescent="0.25">
      <c r="A524" s="28"/>
      <c r="B524" s="28"/>
      <c r="C524" s="73"/>
    </row>
    <row r="525" spans="1:3" ht="12.75" customHeight="1" x14ac:dyDescent="0.25">
      <c r="A525" s="28"/>
      <c r="B525" s="28"/>
      <c r="C525" s="73"/>
    </row>
    <row r="526" spans="1:3" ht="12.75" customHeight="1" x14ac:dyDescent="0.25">
      <c r="A526" s="28"/>
      <c r="B526" s="28"/>
      <c r="C526" s="73"/>
    </row>
    <row r="527" spans="1:3" ht="12.75" customHeight="1" x14ac:dyDescent="0.25">
      <c r="A527" s="28"/>
      <c r="B527" s="28"/>
      <c r="C527" s="73"/>
    </row>
    <row r="528" spans="1:3" ht="12.75" customHeight="1" x14ac:dyDescent="0.25">
      <c r="A528" s="28"/>
      <c r="B528" s="28"/>
      <c r="C528" s="73"/>
    </row>
    <row r="529" spans="1:3" ht="12.75" customHeight="1" x14ac:dyDescent="0.25">
      <c r="A529" s="28"/>
      <c r="B529" s="28"/>
      <c r="C529" s="73"/>
    </row>
    <row r="530" spans="1:3" ht="12.75" customHeight="1" x14ac:dyDescent="0.25">
      <c r="A530" s="28"/>
      <c r="B530" s="28"/>
      <c r="C530" s="73"/>
    </row>
    <row r="531" spans="1:3" ht="12.75" customHeight="1" x14ac:dyDescent="0.25">
      <c r="A531" s="28"/>
      <c r="B531" s="28"/>
      <c r="C531" s="73"/>
    </row>
    <row r="532" spans="1:3" ht="12.75" customHeight="1" x14ac:dyDescent="0.25">
      <c r="A532" s="28"/>
      <c r="B532" s="28"/>
      <c r="C532" s="73"/>
    </row>
    <row r="533" spans="1:3" ht="12.75" customHeight="1" x14ac:dyDescent="0.25">
      <c r="A533" s="28"/>
      <c r="B533" s="28"/>
      <c r="C533" s="73"/>
    </row>
    <row r="534" spans="1:3" ht="12.75" customHeight="1" x14ac:dyDescent="0.25">
      <c r="A534" s="28"/>
      <c r="B534" s="28"/>
      <c r="C534" s="73"/>
    </row>
    <row r="535" spans="1:3" ht="12.75" customHeight="1" x14ac:dyDescent="0.25">
      <c r="A535" s="28"/>
      <c r="B535" s="28"/>
      <c r="C535" s="73"/>
    </row>
    <row r="536" spans="1:3" ht="12.75" customHeight="1" x14ac:dyDescent="0.25">
      <c r="A536" s="28"/>
      <c r="B536" s="28"/>
      <c r="C536" s="73"/>
    </row>
    <row r="537" spans="1:3" ht="12.75" customHeight="1" x14ac:dyDescent="0.25">
      <c r="A537" s="28"/>
      <c r="B537" s="28"/>
      <c r="C537" s="73"/>
    </row>
    <row r="538" spans="1:3" ht="12.75" customHeight="1" x14ac:dyDescent="0.25">
      <c r="A538" s="28"/>
      <c r="B538" s="28"/>
      <c r="C538" s="73"/>
    </row>
    <row r="539" spans="1:3" ht="12.75" customHeight="1" x14ac:dyDescent="0.25">
      <c r="A539" s="28"/>
      <c r="B539" s="28"/>
      <c r="C539" s="73"/>
    </row>
    <row r="540" spans="1:3" ht="12.75" customHeight="1" x14ac:dyDescent="0.25">
      <c r="A540" s="28"/>
      <c r="B540" s="28"/>
      <c r="C540" s="73"/>
    </row>
    <row r="541" spans="1:3" ht="12.75" customHeight="1" x14ac:dyDescent="0.25">
      <c r="A541" s="28"/>
      <c r="B541" s="28"/>
      <c r="C541" s="73"/>
    </row>
    <row r="542" spans="1:3" ht="12.75" customHeight="1" x14ac:dyDescent="0.25">
      <c r="A542" s="28"/>
      <c r="B542" s="28"/>
      <c r="C542" s="73"/>
    </row>
    <row r="543" spans="1:3" ht="12.75" customHeight="1" x14ac:dyDescent="0.25">
      <c r="A543" s="28"/>
      <c r="B543" s="28"/>
      <c r="C543" s="73"/>
    </row>
    <row r="544" spans="1:3" ht="12.75" customHeight="1" x14ac:dyDescent="0.25">
      <c r="A544" s="28"/>
      <c r="B544" s="28"/>
      <c r="C544" s="73"/>
    </row>
    <row r="545" spans="1:3" ht="12.75" customHeight="1" x14ac:dyDescent="0.25">
      <c r="A545" s="28"/>
      <c r="B545" s="28"/>
      <c r="C545" s="73"/>
    </row>
    <row r="546" spans="1:3" ht="12.75" customHeight="1" x14ac:dyDescent="0.25">
      <c r="A546" s="28"/>
      <c r="B546" s="28"/>
      <c r="C546" s="73"/>
    </row>
    <row r="547" spans="1:3" ht="12.75" customHeight="1" x14ac:dyDescent="0.25">
      <c r="A547" s="28"/>
      <c r="B547" s="28"/>
      <c r="C547" s="73"/>
    </row>
    <row r="548" spans="1:3" ht="12.75" customHeight="1" x14ac:dyDescent="0.25">
      <c r="A548" s="28"/>
      <c r="B548" s="28"/>
      <c r="C548" s="73"/>
    </row>
    <row r="549" spans="1:3" ht="12.75" customHeight="1" x14ac:dyDescent="0.25">
      <c r="A549" s="28"/>
      <c r="B549" s="28"/>
      <c r="C549" s="73"/>
    </row>
    <row r="550" spans="1:3" ht="12.75" customHeight="1" x14ac:dyDescent="0.25">
      <c r="A550" s="28"/>
      <c r="B550" s="28"/>
      <c r="C550" s="73"/>
    </row>
    <row r="551" spans="1:3" ht="12.75" customHeight="1" x14ac:dyDescent="0.25">
      <c r="A551" s="28"/>
      <c r="B551" s="28"/>
      <c r="C551" s="73"/>
    </row>
    <row r="552" spans="1:3" ht="12.75" customHeight="1" x14ac:dyDescent="0.25">
      <c r="A552" s="28"/>
      <c r="B552" s="28"/>
      <c r="C552" s="73"/>
    </row>
    <row r="553" spans="1:3" ht="12.75" customHeight="1" x14ac:dyDescent="0.25">
      <c r="A553" s="28"/>
      <c r="B553" s="28"/>
      <c r="C553" s="73"/>
    </row>
    <row r="554" spans="1:3" ht="12.75" customHeight="1" x14ac:dyDescent="0.25">
      <c r="A554" s="28"/>
      <c r="B554" s="28"/>
      <c r="C554" s="73"/>
    </row>
    <row r="555" spans="1:3" ht="12.75" customHeight="1" x14ac:dyDescent="0.25">
      <c r="A555" s="28"/>
      <c r="B555" s="28"/>
      <c r="C555" s="73"/>
    </row>
    <row r="556" spans="1:3" ht="12.75" customHeight="1" x14ac:dyDescent="0.25">
      <c r="A556" s="28"/>
      <c r="B556" s="28"/>
      <c r="C556" s="73"/>
    </row>
    <row r="557" spans="1:3" ht="12.75" customHeight="1" x14ac:dyDescent="0.25">
      <c r="A557" s="28"/>
      <c r="B557" s="28"/>
      <c r="C557" s="73"/>
    </row>
    <row r="558" spans="1:3" ht="12.75" customHeight="1" x14ac:dyDescent="0.25">
      <c r="A558" s="28"/>
      <c r="B558" s="28"/>
      <c r="C558" s="73"/>
    </row>
    <row r="559" spans="1:3" ht="12.75" customHeight="1" x14ac:dyDescent="0.25">
      <c r="A559" s="28"/>
      <c r="B559" s="28"/>
      <c r="C559" s="73"/>
    </row>
    <row r="560" spans="1:3" ht="12.75" customHeight="1" x14ac:dyDescent="0.25">
      <c r="A560" s="28"/>
      <c r="B560" s="28"/>
      <c r="C560" s="73"/>
    </row>
    <row r="561" spans="1:3" ht="12.75" customHeight="1" x14ac:dyDescent="0.25">
      <c r="A561" s="28"/>
      <c r="B561" s="28"/>
      <c r="C561" s="73"/>
    </row>
    <row r="562" spans="1:3" ht="12.75" customHeight="1" x14ac:dyDescent="0.25">
      <c r="A562" s="28"/>
      <c r="B562" s="28"/>
      <c r="C562" s="73"/>
    </row>
    <row r="563" spans="1:3" ht="12.75" customHeight="1" x14ac:dyDescent="0.25">
      <c r="A563" s="28"/>
      <c r="B563" s="28"/>
      <c r="C563" s="73"/>
    </row>
    <row r="564" spans="1:3" ht="12.75" customHeight="1" x14ac:dyDescent="0.25">
      <c r="A564" s="28"/>
      <c r="B564" s="28"/>
      <c r="C564" s="73"/>
    </row>
    <row r="565" spans="1:3" ht="12.75" customHeight="1" x14ac:dyDescent="0.25">
      <c r="A565" s="28"/>
      <c r="B565" s="28"/>
      <c r="C565" s="73"/>
    </row>
    <row r="566" spans="1:3" ht="12.75" customHeight="1" x14ac:dyDescent="0.25">
      <c r="A566" s="28"/>
      <c r="B566" s="28"/>
      <c r="C566" s="73"/>
    </row>
    <row r="567" spans="1:3" ht="12.75" customHeight="1" x14ac:dyDescent="0.25">
      <c r="A567" s="28"/>
      <c r="B567" s="28"/>
      <c r="C567" s="73"/>
    </row>
    <row r="568" spans="1:3" ht="12.75" customHeight="1" x14ac:dyDescent="0.25">
      <c r="A568" s="28"/>
      <c r="B568" s="28"/>
      <c r="C568" s="73"/>
    </row>
    <row r="569" spans="1:3" ht="12.75" customHeight="1" x14ac:dyDescent="0.25">
      <c r="A569" s="28"/>
      <c r="B569" s="28"/>
      <c r="C569" s="73"/>
    </row>
    <row r="570" spans="1:3" ht="12.75" customHeight="1" x14ac:dyDescent="0.25">
      <c r="A570" s="28"/>
      <c r="B570" s="28"/>
      <c r="C570" s="73"/>
    </row>
    <row r="571" spans="1:3" ht="12.75" customHeight="1" x14ac:dyDescent="0.25">
      <c r="A571" s="28"/>
      <c r="B571" s="28"/>
      <c r="C571" s="73"/>
    </row>
    <row r="572" spans="1:3" ht="12.75" customHeight="1" x14ac:dyDescent="0.25">
      <c r="A572" s="28"/>
      <c r="B572" s="28"/>
      <c r="C572" s="73"/>
    </row>
    <row r="573" spans="1:3" ht="12.75" customHeight="1" x14ac:dyDescent="0.25">
      <c r="A573" s="28"/>
      <c r="B573" s="28"/>
      <c r="C573" s="73"/>
    </row>
    <row r="574" spans="1:3" ht="12.75" customHeight="1" x14ac:dyDescent="0.25">
      <c r="A574" s="28"/>
      <c r="B574" s="28"/>
      <c r="C574" s="73"/>
    </row>
    <row r="575" spans="1:3" ht="12.75" customHeight="1" x14ac:dyDescent="0.25">
      <c r="A575" s="28"/>
      <c r="B575" s="28"/>
      <c r="C575" s="73"/>
    </row>
    <row r="576" spans="1:3" ht="12.75" customHeight="1" x14ac:dyDescent="0.25">
      <c r="A576" s="28"/>
      <c r="B576" s="28"/>
      <c r="C576" s="73"/>
    </row>
    <row r="577" spans="1:3" ht="12.75" customHeight="1" x14ac:dyDescent="0.25">
      <c r="A577" s="28"/>
      <c r="B577" s="28"/>
      <c r="C577" s="73"/>
    </row>
    <row r="578" spans="1:3" ht="12.75" customHeight="1" x14ac:dyDescent="0.25">
      <c r="A578" s="28"/>
      <c r="B578" s="28"/>
      <c r="C578" s="73"/>
    </row>
    <row r="579" spans="1:3" ht="12.75" customHeight="1" x14ac:dyDescent="0.25">
      <c r="A579" s="28"/>
      <c r="B579" s="28"/>
      <c r="C579" s="73"/>
    </row>
    <row r="580" spans="1:3" ht="12.75" customHeight="1" x14ac:dyDescent="0.25">
      <c r="A580" s="28"/>
      <c r="B580" s="28"/>
      <c r="C580" s="73"/>
    </row>
    <row r="581" spans="1:3" ht="12.75" customHeight="1" x14ac:dyDescent="0.25">
      <c r="A581" s="28"/>
      <c r="B581" s="28"/>
      <c r="C581" s="73"/>
    </row>
    <row r="582" spans="1:3" ht="12.75" customHeight="1" x14ac:dyDescent="0.25">
      <c r="A582" s="28"/>
      <c r="B582" s="28"/>
      <c r="C582" s="73"/>
    </row>
    <row r="583" spans="1:3" ht="12.75" customHeight="1" x14ac:dyDescent="0.25">
      <c r="A583" s="28"/>
      <c r="B583" s="28"/>
      <c r="C583" s="73"/>
    </row>
    <row r="584" spans="1:3" ht="12.75" customHeight="1" x14ac:dyDescent="0.25">
      <c r="A584" s="28"/>
      <c r="B584" s="28"/>
      <c r="C584" s="73"/>
    </row>
    <row r="585" spans="1:3" ht="12.75" customHeight="1" x14ac:dyDescent="0.25">
      <c r="A585" s="28"/>
      <c r="B585" s="28"/>
      <c r="C585" s="73"/>
    </row>
    <row r="586" spans="1:3" ht="12.75" customHeight="1" x14ac:dyDescent="0.25">
      <c r="A586" s="28"/>
      <c r="B586" s="28"/>
      <c r="C586" s="73"/>
    </row>
    <row r="587" spans="1:3" ht="12.75" customHeight="1" x14ac:dyDescent="0.25">
      <c r="A587" s="28"/>
      <c r="B587" s="28"/>
      <c r="C587" s="73"/>
    </row>
    <row r="588" spans="1:3" ht="12.75" customHeight="1" x14ac:dyDescent="0.25">
      <c r="A588" s="28"/>
      <c r="B588" s="28"/>
      <c r="C588" s="73"/>
    </row>
    <row r="589" spans="1:3" ht="12.75" customHeight="1" x14ac:dyDescent="0.25">
      <c r="A589" s="28"/>
      <c r="B589" s="28"/>
      <c r="C589" s="73"/>
    </row>
    <row r="590" spans="1:3" ht="12.75" customHeight="1" x14ac:dyDescent="0.25">
      <c r="A590" s="28"/>
      <c r="B590" s="28"/>
      <c r="C590" s="73"/>
    </row>
    <row r="591" spans="1:3" ht="12.75" customHeight="1" x14ac:dyDescent="0.25">
      <c r="A591" s="28"/>
      <c r="B591" s="28"/>
      <c r="C591" s="73"/>
    </row>
    <row r="592" spans="1:3" ht="12.75" customHeight="1" x14ac:dyDescent="0.25">
      <c r="A592" s="28"/>
      <c r="B592" s="28"/>
      <c r="C592" s="73"/>
    </row>
    <row r="593" spans="1:3" ht="12.75" customHeight="1" x14ac:dyDescent="0.25">
      <c r="A593" s="28"/>
      <c r="B593" s="28"/>
      <c r="C593" s="73"/>
    </row>
    <row r="594" spans="1:3" ht="12.75" customHeight="1" x14ac:dyDescent="0.25">
      <c r="A594" s="28"/>
      <c r="B594" s="28"/>
      <c r="C594" s="73"/>
    </row>
    <row r="595" spans="1:3" ht="12.75" customHeight="1" x14ac:dyDescent="0.25">
      <c r="A595" s="28"/>
      <c r="B595" s="28"/>
      <c r="C595" s="73"/>
    </row>
    <row r="596" spans="1:3" ht="12.75" customHeight="1" x14ac:dyDescent="0.25">
      <c r="A596" s="28"/>
      <c r="B596" s="28"/>
      <c r="C596" s="73"/>
    </row>
    <row r="597" spans="1:3" ht="12.75" customHeight="1" x14ac:dyDescent="0.25">
      <c r="A597" s="28"/>
      <c r="B597" s="28"/>
      <c r="C597" s="73"/>
    </row>
    <row r="598" spans="1:3" ht="12.75" customHeight="1" x14ac:dyDescent="0.25">
      <c r="A598" s="28"/>
      <c r="B598" s="28"/>
      <c r="C598" s="73"/>
    </row>
    <row r="599" spans="1:3" ht="12.75" customHeight="1" x14ac:dyDescent="0.25">
      <c r="A599" s="28"/>
      <c r="B599" s="28"/>
      <c r="C599" s="73"/>
    </row>
    <row r="600" spans="1:3" ht="12.75" customHeight="1" x14ac:dyDescent="0.25">
      <c r="A600" s="28"/>
      <c r="B600" s="28"/>
      <c r="C600" s="73"/>
    </row>
    <row r="601" spans="1:3" ht="12.75" customHeight="1" x14ac:dyDescent="0.25">
      <c r="A601" s="28"/>
      <c r="B601" s="28"/>
      <c r="C601" s="73"/>
    </row>
    <row r="602" spans="1:3" ht="12.75" customHeight="1" x14ac:dyDescent="0.25">
      <c r="A602" s="28"/>
      <c r="B602" s="28"/>
      <c r="C602" s="73"/>
    </row>
    <row r="603" spans="1:3" ht="12.75" customHeight="1" x14ac:dyDescent="0.25">
      <c r="A603" s="28"/>
      <c r="B603" s="28"/>
      <c r="C603" s="73"/>
    </row>
    <row r="604" spans="1:3" ht="12.75" customHeight="1" x14ac:dyDescent="0.25">
      <c r="A604" s="28"/>
      <c r="B604" s="28"/>
      <c r="C604" s="73"/>
    </row>
    <row r="605" spans="1:3" ht="12.75" customHeight="1" x14ac:dyDescent="0.25">
      <c r="A605" s="28"/>
      <c r="B605" s="28"/>
      <c r="C605" s="73"/>
    </row>
    <row r="606" spans="1:3" ht="12.75" customHeight="1" x14ac:dyDescent="0.25">
      <c r="A606" s="28"/>
      <c r="B606" s="28"/>
      <c r="C606" s="73"/>
    </row>
    <row r="607" spans="1:3" ht="12.75" customHeight="1" x14ac:dyDescent="0.25">
      <c r="A607" s="28"/>
      <c r="B607" s="28"/>
      <c r="C607" s="73"/>
    </row>
    <row r="608" spans="1:3" ht="12.75" customHeight="1" x14ac:dyDescent="0.25">
      <c r="A608" s="28"/>
      <c r="B608" s="28"/>
      <c r="C608" s="73"/>
    </row>
    <row r="609" spans="1:3" ht="12.75" customHeight="1" x14ac:dyDescent="0.25">
      <c r="A609" s="28"/>
      <c r="B609" s="28"/>
      <c r="C609" s="73"/>
    </row>
    <row r="610" spans="1:3" ht="12.75" customHeight="1" x14ac:dyDescent="0.25">
      <c r="A610" s="28"/>
      <c r="B610" s="28"/>
      <c r="C610" s="73"/>
    </row>
    <row r="611" spans="1:3" ht="12.75" customHeight="1" x14ac:dyDescent="0.25">
      <c r="A611" s="28"/>
      <c r="B611" s="28"/>
      <c r="C611" s="73"/>
    </row>
    <row r="612" spans="1:3" ht="12.75" customHeight="1" x14ac:dyDescent="0.25">
      <c r="A612" s="28"/>
      <c r="B612" s="28"/>
      <c r="C612" s="73"/>
    </row>
    <row r="613" spans="1:3" ht="12.75" customHeight="1" x14ac:dyDescent="0.25">
      <c r="A613" s="28"/>
      <c r="B613" s="28"/>
      <c r="C613" s="73"/>
    </row>
    <row r="614" spans="1:3" ht="12.75" customHeight="1" x14ac:dyDescent="0.25">
      <c r="A614" s="28"/>
      <c r="B614" s="28"/>
      <c r="C614" s="73"/>
    </row>
    <row r="615" spans="1:3" ht="12.75" customHeight="1" x14ac:dyDescent="0.25">
      <c r="A615" s="28"/>
      <c r="B615" s="28"/>
      <c r="C615" s="73"/>
    </row>
    <row r="616" spans="1:3" ht="12.75" customHeight="1" x14ac:dyDescent="0.25">
      <c r="A616" s="28"/>
      <c r="B616" s="28"/>
      <c r="C616" s="73"/>
    </row>
    <row r="617" spans="1:3" ht="12.75" customHeight="1" x14ac:dyDescent="0.25">
      <c r="A617" s="28"/>
      <c r="B617" s="28"/>
      <c r="C617" s="73"/>
    </row>
    <row r="618" spans="1:3" ht="12.75" customHeight="1" x14ac:dyDescent="0.25">
      <c r="A618" s="28"/>
      <c r="B618" s="28"/>
      <c r="C618" s="73"/>
    </row>
    <row r="619" spans="1:3" ht="12.75" customHeight="1" x14ac:dyDescent="0.25">
      <c r="A619" s="28"/>
      <c r="B619" s="28"/>
      <c r="C619" s="73"/>
    </row>
    <row r="620" spans="1:3" ht="12.75" customHeight="1" x14ac:dyDescent="0.25">
      <c r="A620" s="28"/>
      <c r="B620" s="28"/>
      <c r="C620" s="73"/>
    </row>
    <row r="621" spans="1:3" ht="12.75" customHeight="1" x14ac:dyDescent="0.25">
      <c r="A621" s="28"/>
      <c r="B621" s="28"/>
      <c r="C621" s="73"/>
    </row>
    <row r="622" spans="1:3" ht="12.75" customHeight="1" x14ac:dyDescent="0.25">
      <c r="A622" s="28"/>
      <c r="B622" s="28"/>
      <c r="C622" s="73"/>
    </row>
    <row r="623" spans="1:3" ht="12.75" customHeight="1" x14ac:dyDescent="0.25">
      <c r="A623" s="28"/>
      <c r="B623" s="28"/>
      <c r="C623" s="73"/>
    </row>
    <row r="624" spans="1:3" ht="12.75" customHeight="1" x14ac:dyDescent="0.25">
      <c r="A624" s="28"/>
      <c r="B624" s="28"/>
      <c r="C624" s="73"/>
    </row>
    <row r="625" spans="1:3" ht="12.75" customHeight="1" x14ac:dyDescent="0.25">
      <c r="A625" s="28"/>
      <c r="B625" s="28"/>
      <c r="C625" s="73"/>
    </row>
    <row r="626" spans="1:3" ht="12.75" customHeight="1" x14ac:dyDescent="0.25">
      <c r="A626" s="28"/>
      <c r="B626" s="28"/>
      <c r="C626" s="73"/>
    </row>
    <row r="627" spans="1:3" ht="12.75" customHeight="1" x14ac:dyDescent="0.25">
      <c r="A627" s="28"/>
      <c r="B627" s="28"/>
      <c r="C627" s="73"/>
    </row>
    <row r="628" spans="1:3" ht="12.75" customHeight="1" x14ac:dyDescent="0.25">
      <c r="A628" s="28"/>
      <c r="B628" s="28"/>
      <c r="C628" s="73"/>
    </row>
    <row r="629" spans="1:3" ht="12.75" customHeight="1" x14ac:dyDescent="0.25">
      <c r="A629" s="28"/>
      <c r="B629" s="28"/>
      <c r="C629" s="73"/>
    </row>
    <row r="630" spans="1:3" ht="12.75" customHeight="1" x14ac:dyDescent="0.25">
      <c r="A630" s="28"/>
      <c r="B630" s="28"/>
      <c r="C630" s="73"/>
    </row>
    <row r="631" spans="1:3" ht="12.75" customHeight="1" x14ac:dyDescent="0.25">
      <c r="A631" s="28"/>
      <c r="B631" s="28"/>
      <c r="C631" s="73"/>
    </row>
    <row r="632" spans="1:3" ht="12.75" customHeight="1" x14ac:dyDescent="0.25">
      <c r="A632" s="28"/>
      <c r="B632" s="28"/>
      <c r="C632" s="73"/>
    </row>
    <row r="633" spans="1:3" ht="12.75" customHeight="1" x14ac:dyDescent="0.25">
      <c r="A633" s="28"/>
      <c r="B633" s="28"/>
      <c r="C633" s="73"/>
    </row>
    <row r="634" spans="1:3" ht="12.75" customHeight="1" x14ac:dyDescent="0.25">
      <c r="A634" s="28"/>
      <c r="B634" s="28"/>
      <c r="C634" s="73"/>
    </row>
    <row r="635" spans="1:3" ht="12.75" customHeight="1" x14ac:dyDescent="0.25">
      <c r="A635" s="28"/>
      <c r="B635" s="28"/>
      <c r="C635" s="73"/>
    </row>
    <row r="636" spans="1:3" ht="12.75" customHeight="1" x14ac:dyDescent="0.25">
      <c r="A636" s="28"/>
      <c r="B636" s="28"/>
      <c r="C636" s="73"/>
    </row>
    <row r="637" spans="1:3" ht="12.75" customHeight="1" x14ac:dyDescent="0.25">
      <c r="A637" s="28"/>
      <c r="B637" s="28"/>
      <c r="C637" s="73"/>
    </row>
    <row r="638" spans="1:3" ht="12.75" customHeight="1" x14ac:dyDescent="0.25">
      <c r="A638" s="28"/>
      <c r="B638" s="28"/>
      <c r="C638" s="73"/>
    </row>
    <row r="639" spans="1:3" ht="12.75" customHeight="1" x14ac:dyDescent="0.25">
      <c r="A639" s="28"/>
      <c r="B639" s="28"/>
      <c r="C639" s="73"/>
    </row>
    <row r="640" spans="1:3" ht="12.75" customHeight="1" x14ac:dyDescent="0.25">
      <c r="A640" s="28"/>
      <c r="B640" s="28"/>
      <c r="C640" s="73"/>
    </row>
    <row r="641" spans="1:3" ht="12.75" customHeight="1" x14ac:dyDescent="0.25">
      <c r="A641" s="28"/>
      <c r="B641" s="28"/>
      <c r="C641" s="73"/>
    </row>
    <row r="642" spans="1:3" ht="12.75" customHeight="1" x14ac:dyDescent="0.25">
      <c r="A642" s="28"/>
      <c r="B642" s="28"/>
      <c r="C642" s="73"/>
    </row>
    <row r="643" spans="1:3" ht="12.75" customHeight="1" x14ac:dyDescent="0.25">
      <c r="A643" s="28"/>
      <c r="B643" s="28"/>
      <c r="C643" s="73"/>
    </row>
    <row r="644" spans="1:3" ht="12.75" customHeight="1" x14ac:dyDescent="0.25">
      <c r="A644" s="28"/>
      <c r="B644" s="28"/>
      <c r="C644" s="73"/>
    </row>
    <row r="645" spans="1:3" ht="12.75" customHeight="1" x14ac:dyDescent="0.25">
      <c r="A645" s="28"/>
      <c r="B645" s="28"/>
      <c r="C645" s="73"/>
    </row>
    <row r="646" spans="1:3" ht="12.75" customHeight="1" x14ac:dyDescent="0.25">
      <c r="A646" s="28"/>
      <c r="B646" s="28"/>
      <c r="C646" s="73"/>
    </row>
    <row r="647" spans="1:3" ht="12.75" customHeight="1" x14ac:dyDescent="0.25">
      <c r="A647" s="28"/>
      <c r="B647" s="28"/>
      <c r="C647" s="73"/>
    </row>
    <row r="648" spans="1:3" ht="12.75" customHeight="1" x14ac:dyDescent="0.25">
      <c r="A648" s="28"/>
      <c r="B648" s="28"/>
      <c r="C648" s="73"/>
    </row>
    <row r="649" spans="1:3" ht="12.75" customHeight="1" x14ac:dyDescent="0.25">
      <c r="A649" s="28"/>
      <c r="B649" s="28"/>
      <c r="C649" s="73"/>
    </row>
    <row r="650" spans="1:3" ht="12.75" customHeight="1" x14ac:dyDescent="0.25">
      <c r="A650" s="28"/>
      <c r="B650" s="28"/>
      <c r="C650" s="73"/>
    </row>
    <row r="651" spans="1:3" ht="12.75" customHeight="1" x14ac:dyDescent="0.25">
      <c r="A651" s="28"/>
      <c r="B651" s="28"/>
      <c r="C651" s="73"/>
    </row>
    <row r="652" spans="1:3" ht="12.75" customHeight="1" x14ac:dyDescent="0.25">
      <c r="A652" s="28"/>
      <c r="B652" s="28"/>
      <c r="C652" s="73"/>
    </row>
    <row r="653" spans="1:3" ht="12.75" customHeight="1" x14ac:dyDescent="0.25">
      <c r="A653" s="28"/>
      <c r="B653" s="28"/>
      <c r="C653" s="73"/>
    </row>
    <row r="654" spans="1:3" ht="12.75" customHeight="1" x14ac:dyDescent="0.25">
      <c r="A654" s="28"/>
      <c r="B654" s="28"/>
      <c r="C654" s="73"/>
    </row>
    <row r="655" spans="1:3" ht="12.75" customHeight="1" x14ac:dyDescent="0.25">
      <c r="A655" s="28"/>
      <c r="B655" s="28"/>
      <c r="C655" s="73"/>
    </row>
    <row r="656" spans="1:3" ht="12.75" customHeight="1" x14ac:dyDescent="0.25">
      <c r="A656" s="28"/>
      <c r="B656" s="28"/>
      <c r="C656" s="73"/>
    </row>
    <row r="657" spans="1:3" ht="12.75" customHeight="1" x14ac:dyDescent="0.25">
      <c r="A657" s="28"/>
      <c r="B657" s="28"/>
      <c r="C657" s="73"/>
    </row>
    <row r="658" spans="1:3" ht="12.75" customHeight="1" x14ac:dyDescent="0.25">
      <c r="A658" s="28"/>
      <c r="B658" s="28"/>
      <c r="C658" s="73"/>
    </row>
    <row r="659" spans="1:3" ht="12.75" customHeight="1" x14ac:dyDescent="0.25">
      <c r="A659" s="28"/>
      <c r="B659" s="28"/>
      <c r="C659" s="73"/>
    </row>
    <row r="660" spans="1:3" ht="12.75" customHeight="1" x14ac:dyDescent="0.25">
      <c r="A660" s="28"/>
      <c r="B660" s="28"/>
      <c r="C660" s="73"/>
    </row>
    <row r="661" spans="1:3" ht="12.75" customHeight="1" x14ac:dyDescent="0.25">
      <c r="A661" s="28"/>
      <c r="B661" s="28"/>
      <c r="C661" s="73"/>
    </row>
    <row r="662" spans="1:3" ht="12.75" customHeight="1" x14ac:dyDescent="0.25">
      <c r="A662" s="28"/>
      <c r="B662" s="28"/>
      <c r="C662" s="73"/>
    </row>
    <row r="663" spans="1:3" ht="12.75" customHeight="1" x14ac:dyDescent="0.25">
      <c r="A663" s="28"/>
      <c r="B663" s="28"/>
      <c r="C663" s="73"/>
    </row>
    <row r="664" spans="1:3" ht="12.75" customHeight="1" x14ac:dyDescent="0.25">
      <c r="A664" s="28"/>
      <c r="B664" s="28"/>
      <c r="C664" s="73"/>
    </row>
    <row r="665" spans="1:3" ht="12.75" customHeight="1" x14ac:dyDescent="0.25">
      <c r="A665" s="28"/>
      <c r="B665" s="28"/>
      <c r="C665" s="73"/>
    </row>
    <row r="666" spans="1:3" ht="12.75" customHeight="1" x14ac:dyDescent="0.25">
      <c r="A666" s="28"/>
      <c r="B666" s="28"/>
      <c r="C666" s="73"/>
    </row>
    <row r="667" spans="1:3" ht="12.75" customHeight="1" x14ac:dyDescent="0.25">
      <c r="A667" s="28"/>
      <c r="B667" s="28"/>
      <c r="C667" s="73"/>
    </row>
    <row r="668" spans="1:3" ht="12.75" customHeight="1" x14ac:dyDescent="0.25">
      <c r="A668" s="28"/>
      <c r="B668" s="28"/>
      <c r="C668" s="73"/>
    </row>
    <row r="669" spans="1:3" ht="12.75" customHeight="1" x14ac:dyDescent="0.25">
      <c r="A669" s="28"/>
      <c r="B669" s="28"/>
      <c r="C669" s="73"/>
    </row>
    <row r="670" spans="1:3" ht="12.75" customHeight="1" x14ac:dyDescent="0.25">
      <c r="A670" s="28"/>
      <c r="B670" s="28"/>
      <c r="C670" s="73"/>
    </row>
    <row r="671" spans="1:3" ht="12.75" customHeight="1" x14ac:dyDescent="0.25">
      <c r="A671" s="28"/>
      <c r="B671" s="28"/>
      <c r="C671" s="73"/>
    </row>
    <row r="672" spans="1:3" ht="12.75" customHeight="1" x14ac:dyDescent="0.25">
      <c r="A672" s="28"/>
      <c r="B672" s="28"/>
      <c r="C672" s="73"/>
    </row>
    <row r="673" spans="1:3" ht="12.75" customHeight="1" x14ac:dyDescent="0.25">
      <c r="A673" s="28"/>
      <c r="B673" s="28"/>
      <c r="C673" s="73"/>
    </row>
    <row r="674" spans="1:3" ht="12.75" customHeight="1" x14ac:dyDescent="0.25">
      <c r="A674" s="28"/>
      <c r="B674" s="28"/>
      <c r="C674" s="73"/>
    </row>
    <row r="675" spans="1:3" ht="12.75" customHeight="1" x14ac:dyDescent="0.25">
      <c r="A675" s="28"/>
      <c r="B675" s="28"/>
      <c r="C675" s="73"/>
    </row>
    <row r="676" spans="1:3" ht="12.75" customHeight="1" x14ac:dyDescent="0.25">
      <c r="A676" s="28"/>
      <c r="B676" s="28"/>
      <c r="C676" s="73"/>
    </row>
    <row r="677" spans="1:3" ht="12.75" customHeight="1" x14ac:dyDescent="0.25">
      <c r="A677" s="28"/>
      <c r="B677" s="28"/>
      <c r="C677" s="73"/>
    </row>
    <row r="678" spans="1:3" ht="12.75" customHeight="1" x14ac:dyDescent="0.25">
      <c r="A678" s="28"/>
      <c r="B678" s="28"/>
      <c r="C678" s="73"/>
    </row>
    <row r="679" spans="1:3" ht="12.75" customHeight="1" x14ac:dyDescent="0.25">
      <c r="A679" s="28"/>
      <c r="B679" s="28"/>
      <c r="C679" s="73"/>
    </row>
    <row r="680" spans="1:3" ht="12.75" customHeight="1" x14ac:dyDescent="0.25">
      <c r="A680" s="28"/>
      <c r="B680" s="28"/>
      <c r="C680" s="73"/>
    </row>
    <row r="681" spans="1:3" ht="12.75" customHeight="1" x14ac:dyDescent="0.25">
      <c r="A681" s="28"/>
      <c r="B681" s="28"/>
      <c r="C681" s="73"/>
    </row>
    <row r="682" spans="1:3" ht="12.75" customHeight="1" x14ac:dyDescent="0.25">
      <c r="A682" s="28"/>
      <c r="B682" s="28"/>
      <c r="C682" s="73"/>
    </row>
    <row r="683" spans="1:3" ht="12.75" customHeight="1" x14ac:dyDescent="0.25">
      <c r="A683" s="28"/>
      <c r="B683" s="28"/>
      <c r="C683" s="73"/>
    </row>
    <row r="684" spans="1:3" ht="12.75" customHeight="1" x14ac:dyDescent="0.25">
      <c r="A684" s="28"/>
      <c r="B684" s="28"/>
      <c r="C684" s="73"/>
    </row>
    <row r="685" spans="1:3" ht="12.75" customHeight="1" x14ac:dyDescent="0.25">
      <c r="A685" s="28"/>
      <c r="B685" s="28"/>
      <c r="C685" s="73"/>
    </row>
    <row r="686" spans="1:3" ht="12.75" customHeight="1" x14ac:dyDescent="0.25">
      <c r="A686" s="28"/>
      <c r="B686" s="28"/>
      <c r="C686" s="73"/>
    </row>
    <row r="687" spans="1:3" ht="12.75" customHeight="1" x14ac:dyDescent="0.25">
      <c r="A687" s="28"/>
      <c r="B687" s="28"/>
      <c r="C687" s="73"/>
    </row>
    <row r="688" spans="1:3" ht="12.75" customHeight="1" x14ac:dyDescent="0.25">
      <c r="A688" s="28"/>
      <c r="B688" s="28"/>
      <c r="C688" s="73"/>
    </row>
    <row r="689" spans="1:3" ht="12.75" customHeight="1" x14ac:dyDescent="0.25">
      <c r="A689" s="28"/>
      <c r="B689" s="28"/>
      <c r="C689" s="73"/>
    </row>
    <row r="690" spans="1:3" ht="12.75" customHeight="1" x14ac:dyDescent="0.25">
      <c r="A690" s="28"/>
      <c r="B690" s="28"/>
      <c r="C690" s="73"/>
    </row>
    <row r="691" spans="1:3" ht="12.75" customHeight="1" x14ac:dyDescent="0.25">
      <c r="A691" s="28"/>
      <c r="B691" s="28"/>
      <c r="C691" s="73"/>
    </row>
    <row r="692" spans="1:3" ht="12.75" customHeight="1" x14ac:dyDescent="0.25">
      <c r="A692" s="28"/>
      <c r="B692" s="28"/>
      <c r="C692" s="73"/>
    </row>
    <row r="693" spans="1:3" ht="12.75" customHeight="1" x14ac:dyDescent="0.25">
      <c r="A693" s="28"/>
      <c r="B693" s="28"/>
      <c r="C693" s="73"/>
    </row>
    <row r="694" spans="1:3" ht="12.75" customHeight="1" x14ac:dyDescent="0.25">
      <c r="A694" s="28"/>
      <c r="B694" s="28"/>
      <c r="C694" s="73"/>
    </row>
    <row r="695" spans="1:3" ht="12.75" customHeight="1" x14ac:dyDescent="0.25">
      <c r="A695" s="28"/>
      <c r="B695" s="28"/>
      <c r="C695" s="73"/>
    </row>
    <row r="696" spans="1:3" ht="12.75" customHeight="1" x14ac:dyDescent="0.25">
      <c r="A696" s="28"/>
      <c r="B696" s="28"/>
      <c r="C696" s="73"/>
    </row>
    <row r="697" spans="1:3" ht="12.75" customHeight="1" x14ac:dyDescent="0.25">
      <c r="A697" s="28"/>
      <c r="B697" s="28"/>
      <c r="C697" s="73"/>
    </row>
    <row r="698" spans="1:3" ht="12.75" customHeight="1" x14ac:dyDescent="0.25">
      <c r="A698" s="28"/>
      <c r="B698" s="28"/>
      <c r="C698" s="73"/>
    </row>
    <row r="699" spans="1:3" ht="12.75" customHeight="1" x14ac:dyDescent="0.25">
      <c r="A699" s="28"/>
      <c r="B699" s="28"/>
      <c r="C699" s="73"/>
    </row>
    <row r="700" spans="1:3" ht="12.75" customHeight="1" x14ac:dyDescent="0.25">
      <c r="A700" s="28"/>
      <c r="B700" s="28"/>
      <c r="C700" s="73"/>
    </row>
    <row r="701" spans="1:3" ht="12.75" customHeight="1" x14ac:dyDescent="0.25">
      <c r="A701" s="28"/>
      <c r="B701" s="28"/>
      <c r="C701" s="73"/>
    </row>
    <row r="702" spans="1:3" ht="12.75" customHeight="1" x14ac:dyDescent="0.25">
      <c r="A702" s="28"/>
      <c r="B702" s="28"/>
      <c r="C702" s="73"/>
    </row>
    <row r="703" spans="1:3" ht="12.75" customHeight="1" x14ac:dyDescent="0.25">
      <c r="A703" s="28"/>
      <c r="B703" s="28"/>
      <c r="C703" s="73"/>
    </row>
    <row r="704" spans="1:3" ht="12.75" customHeight="1" x14ac:dyDescent="0.25">
      <c r="A704" s="28"/>
      <c r="B704" s="28"/>
      <c r="C704" s="73"/>
    </row>
    <row r="705" spans="1:3" ht="12.75" customHeight="1" x14ac:dyDescent="0.25">
      <c r="A705" s="28"/>
      <c r="B705" s="28"/>
      <c r="C705" s="73"/>
    </row>
    <row r="706" spans="1:3" ht="12.75" customHeight="1" x14ac:dyDescent="0.25">
      <c r="A706" s="28"/>
      <c r="B706" s="28"/>
      <c r="C706" s="73"/>
    </row>
    <row r="707" spans="1:3" ht="12.75" customHeight="1" x14ac:dyDescent="0.25">
      <c r="A707" s="28"/>
      <c r="B707" s="28"/>
      <c r="C707" s="73"/>
    </row>
    <row r="708" spans="1:3" ht="12.75" customHeight="1" x14ac:dyDescent="0.25">
      <c r="A708" s="28"/>
      <c r="B708" s="28"/>
      <c r="C708" s="73"/>
    </row>
    <row r="709" spans="1:3" ht="12.75" customHeight="1" x14ac:dyDescent="0.25">
      <c r="A709" s="28"/>
      <c r="B709" s="28"/>
      <c r="C709" s="73"/>
    </row>
    <row r="710" spans="1:3" ht="12.75" customHeight="1" x14ac:dyDescent="0.25">
      <c r="A710" s="28"/>
      <c r="B710" s="28"/>
      <c r="C710" s="73"/>
    </row>
    <row r="711" spans="1:3" ht="12.75" customHeight="1" x14ac:dyDescent="0.25">
      <c r="A711" s="28"/>
      <c r="B711" s="28"/>
      <c r="C711" s="73"/>
    </row>
    <row r="712" spans="1:3" ht="12.75" customHeight="1" x14ac:dyDescent="0.25">
      <c r="A712" s="28"/>
      <c r="B712" s="28"/>
      <c r="C712" s="73"/>
    </row>
    <row r="713" spans="1:3" ht="12.75" customHeight="1" x14ac:dyDescent="0.25">
      <c r="A713" s="28"/>
      <c r="B713" s="28"/>
      <c r="C713" s="73"/>
    </row>
    <row r="714" spans="1:3" ht="12.75" customHeight="1" x14ac:dyDescent="0.25">
      <c r="A714" s="28"/>
      <c r="B714" s="28"/>
      <c r="C714" s="73"/>
    </row>
    <row r="715" spans="1:3" ht="12.75" customHeight="1" x14ac:dyDescent="0.25">
      <c r="A715" s="28"/>
      <c r="B715" s="28"/>
      <c r="C715" s="73"/>
    </row>
    <row r="716" spans="1:3" ht="12.75" customHeight="1" x14ac:dyDescent="0.25">
      <c r="A716" s="28"/>
      <c r="B716" s="28"/>
      <c r="C716" s="73"/>
    </row>
    <row r="717" spans="1:3" ht="12.75" customHeight="1" x14ac:dyDescent="0.25">
      <c r="A717" s="28"/>
      <c r="B717" s="28"/>
      <c r="C717" s="73"/>
    </row>
    <row r="718" spans="1:3" ht="12.75" customHeight="1" x14ac:dyDescent="0.25">
      <c r="A718" s="28"/>
      <c r="B718" s="28"/>
      <c r="C718" s="73"/>
    </row>
    <row r="719" spans="1:3" ht="12.75" customHeight="1" x14ac:dyDescent="0.25">
      <c r="A719" s="28"/>
      <c r="B719" s="28"/>
      <c r="C719" s="73"/>
    </row>
    <row r="720" spans="1:3" ht="12.75" customHeight="1" x14ac:dyDescent="0.25">
      <c r="A720" s="28"/>
      <c r="B720" s="28"/>
      <c r="C720" s="73"/>
    </row>
    <row r="721" spans="1:3" ht="12.75" customHeight="1" x14ac:dyDescent="0.25">
      <c r="A721" s="28"/>
      <c r="B721" s="28"/>
      <c r="C721" s="73"/>
    </row>
    <row r="722" spans="1:3" ht="12.75" customHeight="1" x14ac:dyDescent="0.25">
      <c r="A722" s="28"/>
      <c r="B722" s="28"/>
      <c r="C722" s="73"/>
    </row>
    <row r="723" spans="1:3" ht="12.75" customHeight="1" x14ac:dyDescent="0.25">
      <c r="A723" s="28"/>
      <c r="B723" s="28"/>
      <c r="C723" s="73"/>
    </row>
    <row r="724" spans="1:3" ht="12.75" customHeight="1" x14ac:dyDescent="0.25">
      <c r="A724" s="28"/>
      <c r="B724" s="28"/>
      <c r="C724" s="73"/>
    </row>
    <row r="725" spans="1:3" ht="12.75" customHeight="1" x14ac:dyDescent="0.25">
      <c r="A725" s="28"/>
      <c r="B725" s="28"/>
      <c r="C725" s="73"/>
    </row>
    <row r="726" spans="1:3" ht="12.75" customHeight="1" x14ac:dyDescent="0.25">
      <c r="A726" s="28"/>
      <c r="B726" s="28"/>
      <c r="C726" s="73"/>
    </row>
    <row r="727" spans="1:3" ht="12.75" customHeight="1" x14ac:dyDescent="0.25">
      <c r="A727" s="28"/>
      <c r="B727" s="28"/>
      <c r="C727" s="73"/>
    </row>
    <row r="728" spans="1:3" ht="12.75" customHeight="1" x14ac:dyDescent="0.25">
      <c r="A728" s="28"/>
      <c r="B728" s="28"/>
      <c r="C728" s="73"/>
    </row>
    <row r="729" spans="1:3" ht="12.75" customHeight="1" x14ac:dyDescent="0.25">
      <c r="A729" s="28"/>
      <c r="B729" s="28"/>
      <c r="C729" s="73"/>
    </row>
    <row r="730" spans="1:3" ht="12.75" customHeight="1" x14ac:dyDescent="0.25">
      <c r="A730" s="28"/>
      <c r="B730" s="28"/>
      <c r="C730" s="73"/>
    </row>
    <row r="731" spans="1:3" ht="12.75" customHeight="1" x14ac:dyDescent="0.25">
      <c r="A731" s="28"/>
      <c r="B731" s="28"/>
      <c r="C731" s="73"/>
    </row>
    <row r="732" spans="1:3" ht="12.75" customHeight="1" x14ac:dyDescent="0.25">
      <c r="A732" s="28"/>
      <c r="B732" s="28"/>
      <c r="C732" s="73"/>
    </row>
    <row r="733" spans="1:3" ht="12.75" customHeight="1" x14ac:dyDescent="0.25">
      <c r="A733" s="28"/>
      <c r="B733" s="28"/>
      <c r="C733" s="73"/>
    </row>
    <row r="734" spans="1:3" ht="12.75" customHeight="1" x14ac:dyDescent="0.25">
      <c r="A734" s="28"/>
      <c r="B734" s="28"/>
      <c r="C734" s="73"/>
    </row>
    <row r="735" spans="1:3" ht="12.75" customHeight="1" x14ac:dyDescent="0.25">
      <c r="A735" s="28"/>
      <c r="B735" s="28"/>
      <c r="C735" s="73"/>
    </row>
    <row r="736" spans="1:3" ht="12.75" customHeight="1" x14ac:dyDescent="0.25">
      <c r="A736" s="28"/>
      <c r="B736" s="28"/>
      <c r="C736" s="73"/>
    </row>
    <row r="737" spans="1:3" ht="12.75" customHeight="1" x14ac:dyDescent="0.25">
      <c r="A737" s="28"/>
      <c r="B737" s="28"/>
      <c r="C737" s="73"/>
    </row>
    <row r="738" spans="1:3" ht="12.75" customHeight="1" x14ac:dyDescent="0.25">
      <c r="A738" s="28"/>
      <c r="B738" s="28"/>
      <c r="C738" s="73"/>
    </row>
    <row r="739" spans="1:3" ht="12.75" customHeight="1" x14ac:dyDescent="0.25">
      <c r="A739" s="28"/>
      <c r="B739" s="28"/>
      <c r="C739" s="73"/>
    </row>
    <row r="740" spans="1:3" ht="12.75" customHeight="1" x14ac:dyDescent="0.25">
      <c r="A740" s="28"/>
      <c r="B740" s="28"/>
      <c r="C740" s="73"/>
    </row>
    <row r="741" spans="1:3" ht="12.75" customHeight="1" x14ac:dyDescent="0.25">
      <c r="A741" s="28"/>
      <c r="B741" s="28"/>
      <c r="C741" s="73"/>
    </row>
    <row r="742" spans="1:3" ht="12.75" customHeight="1" x14ac:dyDescent="0.25">
      <c r="A742" s="28"/>
      <c r="B742" s="28"/>
      <c r="C742" s="73"/>
    </row>
    <row r="743" spans="1:3" ht="12.75" customHeight="1" x14ac:dyDescent="0.25">
      <c r="A743" s="28"/>
      <c r="B743" s="28"/>
      <c r="C743" s="73"/>
    </row>
    <row r="744" spans="1:3" ht="12.75" customHeight="1" x14ac:dyDescent="0.25">
      <c r="A744" s="28"/>
      <c r="B744" s="28"/>
      <c r="C744" s="73"/>
    </row>
    <row r="745" spans="1:3" ht="12.75" customHeight="1" x14ac:dyDescent="0.25">
      <c r="A745" s="28"/>
      <c r="B745" s="28"/>
      <c r="C745" s="73"/>
    </row>
    <row r="746" spans="1:3" ht="12.75" customHeight="1" x14ac:dyDescent="0.25">
      <c r="A746" s="28"/>
      <c r="B746" s="28"/>
      <c r="C746" s="73"/>
    </row>
    <row r="747" spans="1:3" ht="12.75" customHeight="1" x14ac:dyDescent="0.25">
      <c r="A747" s="28"/>
      <c r="B747" s="28"/>
      <c r="C747" s="73"/>
    </row>
    <row r="748" spans="1:3" ht="12.75" customHeight="1" x14ac:dyDescent="0.25">
      <c r="A748" s="28"/>
      <c r="B748" s="28"/>
      <c r="C748" s="73"/>
    </row>
    <row r="749" spans="1:3" ht="12.75" customHeight="1" x14ac:dyDescent="0.25">
      <c r="A749" s="28"/>
      <c r="B749" s="28"/>
      <c r="C749" s="73"/>
    </row>
    <row r="750" spans="1:3" ht="12.75" customHeight="1" x14ac:dyDescent="0.25">
      <c r="A750" s="28"/>
      <c r="B750" s="28"/>
      <c r="C750" s="73"/>
    </row>
    <row r="751" spans="1:3" ht="12.75" customHeight="1" x14ac:dyDescent="0.25">
      <c r="A751" s="28"/>
      <c r="B751" s="28"/>
      <c r="C751" s="73"/>
    </row>
    <row r="752" spans="1:3" ht="12.75" customHeight="1" x14ac:dyDescent="0.25">
      <c r="A752" s="28"/>
      <c r="B752" s="28"/>
      <c r="C752" s="73"/>
    </row>
    <row r="753" spans="1:3" ht="12.75" customHeight="1" x14ac:dyDescent="0.25">
      <c r="A753" s="28"/>
      <c r="B753" s="28"/>
      <c r="C753" s="73"/>
    </row>
    <row r="754" spans="1:3" ht="12.75" customHeight="1" x14ac:dyDescent="0.25">
      <c r="A754" s="28"/>
      <c r="B754" s="28"/>
      <c r="C754" s="73"/>
    </row>
    <row r="755" spans="1:3" ht="12.75" customHeight="1" x14ac:dyDescent="0.25">
      <c r="A755" s="28"/>
      <c r="B755" s="28"/>
      <c r="C755" s="73"/>
    </row>
    <row r="756" spans="1:3" ht="12.75" customHeight="1" x14ac:dyDescent="0.25">
      <c r="A756" s="28"/>
      <c r="B756" s="28"/>
      <c r="C756" s="73"/>
    </row>
    <row r="757" spans="1:3" ht="12.75" customHeight="1" x14ac:dyDescent="0.25">
      <c r="A757" s="28"/>
      <c r="B757" s="28"/>
      <c r="C757" s="73"/>
    </row>
    <row r="758" spans="1:3" ht="12.75" customHeight="1" x14ac:dyDescent="0.25">
      <c r="A758" s="28"/>
      <c r="B758" s="28"/>
      <c r="C758" s="73"/>
    </row>
    <row r="759" spans="1:3" ht="12.75" customHeight="1" x14ac:dyDescent="0.25">
      <c r="A759" s="28"/>
      <c r="B759" s="28"/>
      <c r="C759" s="73"/>
    </row>
    <row r="760" spans="1:3" ht="12.75" customHeight="1" x14ac:dyDescent="0.25">
      <c r="A760" s="28"/>
      <c r="B760" s="28"/>
      <c r="C760" s="73"/>
    </row>
    <row r="761" spans="1:3" ht="12.75" customHeight="1" x14ac:dyDescent="0.25">
      <c r="A761" s="28"/>
      <c r="B761" s="28"/>
      <c r="C761" s="73"/>
    </row>
    <row r="762" spans="1:3" ht="12.75" customHeight="1" x14ac:dyDescent="0.25">
      <c r="A762" s="28"/>
      <c r="B762" s="28"/>
      <c r="C762" s="73"/>
    </row>
    <row r="763" spans="1:3" ht="12.75" customHeight="1" x14ac:dyDescent="0.25">
      <c r="A763" s="28"/>
      <c r="B763" s="28"/>
      <c r="C763" s="73"/>
    </row>
    <row r="764" spans="1:3" ht="12.75" customHeight="1" x14ac:dyDescent="0.25">
      <c r="A764" s="28"/>
      <c r="B764" s="28"/>
      <c r="C764" s="73"/>
    </row>
    <row r="765" spans="1:3" ht="12.75" customHeight="1" x14ac:dyDescent="0.25">
      <c r="A765" s="28"/>
      <c r="B765" s="28"/>
      <c r="C765" s="73"/>
    </row>
    <row r="766" spans="1:3" ht="12.75" customHeight="1" x14ac:dyDescent="0.25">
      <c r="A766" s="28"/>
      <c r="B766" s="28"/>
      <c r="C766" s="73"/>
    </row>
    <row r="767" spans="1:3" ht="12.75" customHeight="1" x14ac:dyDescent="0.25">
      <c r="A767" s="28"/>
      <c r="B767" s="28"/>
      <c r="C767" s="73"/>
    </row>
    <row r="768" spans="1:3" ht="12.75" customHeight="1" x14ac:dyDescent="0.25">
      <c r="A768" s="28"/>
      <c r="B768" s="28"/>
      <c r="C768" s="73"/>
    </row>
    <row r="769" spans="1:3" ht="12.75" customHeight="1" x14ac:dyDescent="0.25">
      <c r="A769" s="28"/>
      <c r="B769" s="28"/>
      <c r="C769" s="73"/>
    </row>
    <row r="770" spans="1:3" ht="12.75" customHeight="1" x14ac:dyDescent="0.25">
      <c r="A770" s="28"/>
      <c r="B770" s="28"/>
      <c r="C770" s="73"/>
    </row>
    <row r="771" spans="1:3" ht="12.75" customHeight="1" x14ac:dyDescent="0.25">
      <c r="A771" s="28"/>
      <c r="B771" s="28"/>
      <c r="C771" s="73"/>
    </row>
    <row r="772" spans="1:3" ht="12.75" customHeight="1" x14ac:dyDescent="0.25">
      <c r="A772" s="28"/>
      <c r="B772" s="28"/>
      <c r="C772" s="73"/>
    </row>
    <row r="773" spans="1:3" ht="12.75" customHeight="1" x14ac:dyDescent="0.25">
      <c r="A773" s="28"/>
      <c r="B773" s="28"/>
      <c r="C773" s="73"/>
    </row>
    <row r="774" spans="1:3" ht="12.75" customHeight="1" x14ac:dyDescent="0.25">
      <c r="A774" s="28"/>
      <c r="B774" s="28"/>
      <c r="C774" s="73"/>
    </row>
    <row r="775" spans="1:3" ht="12.75" customHeight="1" x14ac:dyDescent="0.25">
      <c r="A775" s="28"/>
      <c r="B775" s="28"/>
      <c r="C775" s="73"/>
    </row>
    <row r="776" spans="1:3" ht="12.75" customHeight="1" x14ac:dyDescent="0.25">
      <c r="A776" s="28"/>
      <c r="B776" s="28"/>
      <c r="C776" s="73"/>
    </row>
    <row r="777" spans="1:3" ht="12.75" customHeight="1" x14ac:dyDescent="0.25">
      <c r="A777" s="28"/>
      <c r="B777" s="28"/>
      <c r="C777" s="73"/>
    </row>
    <row r="778" spans="1:3" ht="12.75" customHeight="1" x14ac:dyDescent="0.25">
      <c r="A778" s="28"/>
      <c r="B778" s="28"/>
      <c r="C778" s="73"/>
    </row>
    <row r="779" spans="1:3" ht="12.75" customHeight="1" x14ac:dyDescent="0.25">
      <c r="A779" s="28"/>
      <c r="B779" s="28"/>
      <c r="C779" s="73"/>
    </row>
    <row r="780" spans="1:3" ht="12.75" customHeight="1" x14ac:dyDescent="0.25">
      <c r="A780" s="28"/>
      <c r="B780" s="28"/>
      <c r="C780" s="73"/>
    </row>
    <row r="781" spans="1:3" ht="12.75" customHeight="1" x14ac:dyDescent="0.25">
      <c r="A781" s="28"/>
      <c r="B781" s="28"/>
      <c r="C781" s="73"/>
    </row>
    <row r="782" spans="1:3" ht="12.75" customHeight="1" x14ac:dyDescent="0.25">
      <c r="A782" s="28"/>
      <c r="B782" s="28"/>
      <c r="C782" s="73"/>
    </row>
    <row r="783" spans="1:3" ht="12.75" customHeight="1" x14ac:dyDescent="0.25">
      <c r="A783" s="28"/>
      <c r="B783" s="28"/>
      <c r="C783" s="73"/>
    </row>
    <row r="784" spans="1:3" ht="12.75" customHeight="1" x14ac:dyDescent="0.25">
      <c r="A784" s="28"/>
      <c r="B784" s="28"/>
      <c r="C784" s="73"/>
    </row>
    <row r="785" spans="1:3" ht="12.75" customHeight="1" x14ac:dyDescent="0.25">
      <c r="A785" s="28"/>
      <c r="B785" s="28"/>
      <c r="C785" s="73"/>
    </row>
    <row r="786" spans="1:3" ht="12.75" customHeight="1" x14ac:dyDescent="0.25">
      <c r="A786" s="28"/>
      <c r="B786" s="28"/>
      <c r="C786" s="73"/>
    </row>
    <row r="787" spans="1:3" ht="12.75" customHeight="1" x14ac:dyDescent="0.25">
      <c r="A787" s="28"/>
      <c r="B787" s="28"/>
      <c r="C787" s="73"/>
    </row>
    <row r="788" spans="1:3" ht="12.75" customHeight="1" x14ac:dyDescent="0.25">
      <c r="A788" s="28"/>
      <c r="B788" s="28"/>
      <c r="C788" s="73"/>
    </row>
    <row r="789" spans="1:3" ht="12.75" customHeight="1" x14ac:dyDescent="0.25">
      <c r="A789" s="28"/>
      <c r="B789" s="28"/>
      <c r="C789" s="73"/>
    </row>
    <row r="790" spans="1:3" ht="12.75" customHeight="1" x14ac:dyDescent="0.25">
      <c r="A790" s="28"/>
      <c r="B790" s="28"/>
      <c r="C790" s="73"/>
    </row>
    <row r="791" spans="1:3" ht="12.75" customHeight="1" x14ac:dyDescent="0.25">
      <c r="A791" s="28"/>
      <c r="B791" s="28"/>
      <c r="C791" s="73"/>
    </row>
    <row r="792" spans="1:3" ht="12.75" customHeight="1" x14ac:dyDescent="0.25">
      <c r="A792" s="28"/>
      <c r="B792" s="28"/>
      <c r="C792" s="73"/>
    </row>
    <row r="793" spans="1:3" ht="12.75" customHeight="1" x14ac:dyDescent="0.25">
      <c r="A793" s="28"/>
      <c r="B793" s="28"/>
      <c r="C793" s="73"/>
    </row>
    <row r="794" spans="1:3" ht="12.75" customHeight="1" x14ac:dyDescent="0.25">
      <c r="A794" s="28"/>
      <c r="B794" s="28"/>
      <c r="C794" s="73"/>
    </row>
    <row r="795" spans="1:3" ht="12.75" customHeight="1" x14ac:dyDescent="0.25">
      <c r="A795" s="28"/>
      <c r="B795" s="28"/>
      <c r="C795" s="73"/>
    </row>
    <row r="796" spans="1:3" ht="12.75" customHeight="1" x14ac:dyDescent="0.25">
      <c r="A796" s="28"/>
      <c r="B796" s="28"/>
      <c r="C796" s="73"/>
    </row>
    <row r="797" spans="1:3" ht="12.75" customHeight="1" x14ac:dyDescent="0.25">
      <c r="A797" s="28"/>
      <c r="B797" s="28"/>
      <c r="C797" s="73"/>
    </row>
    <row r="798" spans="1:3" ht="12.75" customHeight="1" x14ac:dyDescent="0.25">
      <c r="A798" s="28"/>
      <c r="B798" s="28"/>
      <c r="C798" s="73"/>
    </row>
    <row r="799" spans="1:3" ht="12.75" customHeight="1" x14ac:dyDescent="0.25">
      <c r="A799" s="28"/>
      <c r="B799" s="28"/>
      <c r="C799" s="73"/>
    </row>
    <row r="800" spans="1:3" ht="12.75" customHeight="1" x14ac:dyDescent="0.25">
      <c r="A800" s="28"/>
      <c r="B800" s="28"/>
      <c r="C800" s="73"/>
    </row>
    <row r="801" spans="1:3" ht="12.75" customHeight="1" x14ac:dyDescent="0.25">
      <c r="A801" s="28"/>
      <c r="B801" s="28"/>
      <c r="C801" s="73"/>
    </row>
    <row r="802" spans="1:3" ht="12.75" customHeight="1" x14ac:dyDescent="0.25">
      <c r="A802" s="28"/>
      <c r="B802" s="28"/>
      <c r="C802" s="73"/>
    </row>
    <row r="803" spans="1:3" ht="12.75" customHeight="1" x14ac:dyDescent="0.25">
      <c r="A803" s="28"/>
      <c r="B803" s="28"/>
      <c r="C803" s="73"/>
    </row>
    <row r="804" spans="1:3" ht="12.75" customHeight="1" x14ac:dyDescent="0.25">
      <c r="A804" s="28"/>
      <c r="B804" s="28"/>
      <c r="C804" s="73"/>
    </row>
    <row r="805" spans="1:3" ht="12.75" customHeight="1" x14ac:dyDescent="0.25">
      <c r="A805" s="28"/>
      <c r="B805" s="28"/>
      <c r="C805" s="73"/>
    </row>
    <row r="806" spans="1:3" ht="12.75" customHeight="1" x14ac:dyDescent="0.25">
      <c r="A806" s="28"/>
      <c r="B806" s="28"/>
      <c r="C806" s="73"/>
    </row>
    <row r="807" spans="1:3" ht="12.75" customHeight="1" x14ac:dyDescent="0.25">
      <c r="A807" s="28"/>
      <c r="B807" s="28"/>
      <c r="C807" s="73"/>
    </row>
    <row r="808" spans="1:3" ht="12.75" customHeight="1" x14ac:dyDescent="0.25">
      <c r="A808" s="28"/>
      <c r="B808" s="28"/>
      <c r="C808" s="73"/>
    </row>
    <row r="809" spans="1:3" ht="12.75" customHeight="1" x14ac:dyDescent="0.25">
      <c r="A809" s="28"/>
      <c r="B809" s="28"/>
      <c r="C809" s="73"/>
    </row>
    <row r="810" spans="1:3" ht="12.75" customHeight="1" x14ac:dyDescent="0.25">
      <c r="A810" s="28"/>
      <c r="B810" s="28"/>
      <c r="C810" s="73"/>
    </row>
    <row r="811" spans="1:3" ht="12.75" customHeight="1" x14ac:dyDescent="0.25">
      <c r="A811" s="28"/>
      <c r="B811" s="28"/>
      <c r="C811" s="73"/>
    </row>
    <row r="812" spans="1:3" ht="12.75" customHeight="1" x14ac:dyDescent="0.25">
      <c r="A812" s="28"/>
      <c r="B812" s="28"/>
      <c r="C812" s="73"/>
    </row>
    <row r="813" spans="1:3" ht="12.75" customHeight="1" x14ac:dyDescent="0.25">
      <c r="A813" s="28"/>
      <c r="B813" s="28"/>
      <c r="C813" s="73"/>
    </row>
    <row r="814" spans="1:3" ht="12.75" customHeight="1" x14ac:dyDescent="0.25">
      <c r="A814" s="28"/>
      <c r="B814" s="28"/>
      <c r="C814" s="73"/>
    </row>
    <row r="815" spans="1:3" ht="12.75" customHeight="1" x14ac:dyDescent="0.25">
      <c r="A815" s="28"/>
      <c r="B815" s="28"/>
      <c r="C815" s="73"/>
    </row>
    <row r="816" spans="1:3" ht="12.75" customHeight="1" x14ac:dyDescent="0.25">
      <c r="A816" s="28"/>
      <c r="B816" s="28"/>
      <c r="C816" s="73"/>
    </row>
    <row r="817" spans="1:3" ht="12.75" customHeight="1" x14ac:dyDescent="0.25">
      <c r="A817" s="28"/>
      <c r="B817" s="28"/>
      <c r="C817" s="73"/>
    </row>
    <row r="818" spans="1:3" ht="12.75" customHeight="1" x14ac:dyDescent="0.25">
      <c r="A818" s="28"/>
      <c r="B818" s="28"/>
      <c r="C818" s="73"/>
    </row>
    <row r="819" spans="1:3" ht="12.75" customHeight="1" x14ac:dyDescent="0.25">
      <c r="A819" s="28"/>
      <c r="B819" s="28"/>
      <c r="C819" s="73"/>
    </row>
    <row r="820" spans="1:3" ht="12.75" customHeight="1" x14ac:dyDescent="0.25">
      <c r="A820" s="28"/>
      <c r="B820" s="28"/>
      <c r="C820" s="73"/>
    </row>
    <row r="821" spans="1:3" ht="12.75" customHeight="1" x14ac:dyDescent="0.25">
      <c r="A821" s="28"/>
      <c r="B821" s="28"/>
      <c r="C821" s="73"/>
    </row>
    <row r="822" spans="1:3" ht="12.75" customHeight="1" x14ac:dyDescent="0.25">
      <c r="A822" s="28"/>
      <c r="B822" s="28"/>
      <c r="C822" s="73"/>
    </row>
    <row r="823" spans="1:3" ht="12.75" customHeight="1" x14ac:dyDescent="0.25">
      <c r="A823" s="28"/>
      <c r="B823" s="28"/>
      <c r="C823" s="73"/>
    </row>
    <row r="824" spans="1:3" ht="12.75" customHeight="1" x14ac:dyDescent="0.25">
      <c r="A824" s="28"/>
      <c r="B824" s="28"/>
      <c r="C824" s="73"/>
    </row>
    <row r="825" spans="1:3" ht="12.75" customHeight="1" x14ac:dyDescent="0.25">
      <c r="A825" s="28"/>
      <c r="B825" s="28"/>
      <c r="C825" s="73"/>
    </row>
    <row r="826" spans="1:3" ht="12.75" customHeight="1" x14ac:dyDescent="0.25">
      <c r="A826" s="28"/>
      <c r="B826" s="28"/>
      <c r="C826" s="73"/>
    </row>
    <row r="827" spans="1:3" ht="12.75" customHeight="1" x14ac:dyDescent="0.25">
      <c r="A827" s="28"/>
      <c r="B827" s="28"/>
      <c r="C827" s="73"/>
    </row>
    <row r="828" spans="1:3" ht="12.75" customHeight="1" x14ac:dyDescent="0.25">
      <c r="A828" s="28"/>
      <c r="B828" s="28"/>
      <c r="C828" s="73"/>
    </row>
    <row r="829" spans="1:3" ht="12.75" customHeight="1" x14ac:dyDescent="0.25">
      <c r="A829" s="28"/>
      <c r="B829" s="28"/>
      <c r="C829" s="73"/>
    </row>
    <row r="830" spans="1:3" ht="12.75" customHeight="1" x14ac:dyDescent="0.25">
      <c r="A830" s="28"/>
      <c r="B830" s="28"/>
      <c r="C830" s="73"/>
    </row>
    <row r="831" spans="1:3" ht="12.75" customHeight="1" x14ac:dyDescent="0.25">
      <c r="A831" s="28"/>
      <c r="B831" s="28"/>
      <c r="C831" s="73"/>
    </row>
    <row r="832" spans="1:3" ht="12.75" customHeight="1" x14ac:dyDescent="0.25">
      <c r="A832" s="28"/>
      <c r="B832" s="28"/>
      <c r="C832" s="73"/>
    </row>
    <row r="833" spans="1:3" ht="12.75" customHeight="1" x14ac:dyDescent="0.25">
      <c r="A833" s="28"/>
      <c r="B833" s="28"/>
      <c r="C833" s="73"/>
    </row>
    <row r="834" spans="1:3" ht="12.75" customHeight="1" x14ac:dyDescent="0.25">
      <c r="A834" s="28"/>
      <c r="B834" s="28"/>
      <c r="C834" s="73"/>
    </row>
    <row r="835" spans="1:3" ht="12.75" customHeight="1" x14ac:dyDescent="0.25">
      <c r="A835" s="28"/>
      <c r="B835" s="28"/>
      <c r="C835" s="73"/>
    </row>
    <row r="836" spans="1:3" ht="12.75" customHeight="1" x14ac:dyDescent="0.25">
      <c r="A836" s="28"/>
      <c r="B836" s="28"/>
      <c r="C836" s="73"/>
    </row>
    <row r="837" spans="1:3" ht="12.75" customHeight="1" x14ac:dyDescent="0.25">
      <c r="A837" s="28"/>
      <c r="B837" s="28"/>
      <c r="C837" s="73"/>
    </row>
    <row r="838" spans="1:3" ht="12.75" customHeight="1" x14ac:dyDescent="0.25">
      <c r="A838" s="28"/>
      <c r="B838" s="28"/>
      <c r="C838" s="73"/>
    </row>
    <row r="839" spans="1:3" ht="12.75" customHeight="1" x14ac:dyDescent="0.25">
      <c r="A839" s="28"/>
      <c r="B839" s="28"/>
      <c r="C839" s="73"/>
    </row>
    <row r="840" spans="1:3" ht="12.75" customHeight="1" x14ac:dyDescent="0.25">
      <c r="A840" s="28"/>
      <c r="B840" s="28"/>
      <c r="C840" s="73"/>
    </row>
    <row r="841" spans="1:3" ht="12.75" customHeight="1" x14ac:dyDescent="0.25">
      <c r="A841" s="28"/>
      <c r="B841" s="28"/>
      <c r="C841" s="73"/>
    </row>
    <row r="842" spans="1:3" ht="12.75" customHeight="1" x14ac:dyDescent="0.25">
      <c r="A842" s="28"/>
      <c r="B842" s="28"/>
      <c r="C842" s="73"/>
    </row>
    <row r="843" spans="1:3" ht="12.75" customHeight="1" x14ac:dyDescent="0.25">
      <c r="A843" s="28"/>
      <c r="B843" s="28"/>
      <c r="C843" s="73"/>
    </row>
    <row r="844" spans="1:3" ht="12.75" customHeight="1" x14ac:dyDescent="0.25">
      <c r="A844" s="28"/>
      <c r="B844" s="28"/>
      <c r="C844" s="73"/>
    </row>
    <row r="845" spans="1:3" ht="12.75" customHeight="1" x14ac:dyDescent="0.25">
      <c r="A845" s="28"/>
      <c r="B845" s="28"/>
      <c r="C845" s="73"/>
    </row>
    <row r="846" spans="1:3" ht="12.75" customHeight="1" x14ac:dyDescent="0.25">
      <c r="A846" s="28"/>
      <c r="B846" s="28"/>
      <c r="C846" s="73"/>
    </row>
    <row r="847" spans="1:3" ht="12.75" customHeight="1" x14ac:dyDescent="0.25">
      <c r="A847" s="28"/>
      <c r="B847" s="28"/>
      <c r="C847" s="73"/>
    </row>
    <row r="848" spans="1:3" ht="12.75" customHeight="1" x14ac:dyDescent="0.25">
      <c r="A848" s="28"/>
      <c r="B848" s="28"/>
      <c r="C848" s="73"/>
    </row>
    <row r="849" spans="1:3" ht="12.75" customHeight="1" x14ac:dyDescent="0.25">
      <c r="A849" s="28"/>
      <c r="B849" s="28"/>
      <c r="C849" s="73"/>
    </row>
    <row r="850" spans="1:3" ht="12.75" customHeight="1" x14ac:dyDescent="0.25">
      <c r="A850" s="28"/>
      <c r="B850" s="28"/>
      <c r="C850" s="73"/>
    </row>
    <row r="851" spans="1:3" ht="12.75" customHeight="1" x14ac:dyDescent="0.25">
      <c r="A851" s="28"/>
      <c r="B851" s="28"/>
      <c r="C851" s="73"/>
    </row>
    <row r="852" spans="1:3" ht="12.75" customHeight="1" x14ac:dyDescent="0.25">
      <c r="A852" s="28"/>
      <c r="B852" s="28"/>
      <c r="C852" s="73"/>
    </row>
    <row r="853" spans="1:3" ht="12.75" customHeight="1" x14ac:dyDescent="0.25">
      <c r="A853" s="28"/>
      <c r="B853" s="28"/>
      <c r="C853" s="73"/>
    </row>
    <row r="854" spans="1:3" ht="12.75" customHeight="1" x14ac:dyDescent="0.25">
      <c r="A854" s="28"/>
      <c r="B854" s="28"/>
      <c r="C854" s="73"/>
    </row>
    <row r="855" spans="1:3" ht="12.75" customHeight="1" x14ac:dyDescent="0.25">
      <c r="A855" s="28"/>
      <c r="B855" s="28"/>
      <c r="C855" s="73"/>
    </row>
    <row r="856" spans="1:3" ht="12.75" customHeight="1" x14ac:dyDescent="0.25">
      <c r="A856" s="28"/>
      <c r="B856" s="28"/>
      <c r="C856" s="73"/>
    </row>
    <row r="857" spans="1:3" ht="12.75" customHeight="1" x14ac:dyDescent="0.25">
      <c r="A857" s="28"/>
      <c r="B857" s="28"/>
      <c r="C857" s="73"/>
    </row>
    <row r="858" spans="1:3" ht="12.75" customHeight="1" x14ac:dyDescent="0.25">
      <c r="A858" s="28"/>
      <c r="B858" s="28"/>
      <c r="C858" s="73"/>
    </row>
    <row r="859" spans="1:3" ht="12.75" customHeight="1" x14ac:dyDescent="0.25">
      <c r="A859" s="28"/>
      <c r="B859" s="28"/>
      <c r="C859" s="73"/>
    </row>
    <row r="860" spans="1:3" ht="12.75" customHeight="1" x14ac:dyDescent="0.25">
      <c r="A860" s="28"/>
      <c r="B860" s="28"/>
      <c r="C860" s="73"/>
    </row>
    <row r="861" spans="1:3" ht="12.75" customHeight="1" x14ac:dyDescent="0.25">
      <c r="A861" s="28"/>
      <c r="B861" s="28"/>
      <c r="C861" s="73"/>
    </row>
    <row r="862" spans="1:3" ht="12.75" customHeight="1" x14ac:dyDescent="0.25">
      <c r="A862" s="28"/>
      <c r="B862" s="28"/>
      <c r="C862" s="73"/>
    </row>
    <row r="863" spans="1:3" ht="12.75" customHeight="1" x14ac:dyDescent="0.25">
      <c r="A863" s="28"/>
      <c r="B863" s="28"/>
      <c r="C863" s="73"/>
    </row>
    <row r="864" spans="1:3" ht="12.75" customHeight="1" x14ac:dyDescent="0.25">
      <c r="A864" s="28"/>
      <c r="B864" s="28"/>
      <c r="C864" s="73"/>
    </row>
    <row r="865" spans="1:3" ht="12.75" customHeight="1" x14ac:dyDescent="0.25">
      <c r="A865" s="28"/>
      <c r="B865" s="28"/>
      <c r="C865" s="73"/>
    </row>
    <row r="866" spans="1:3" ht="12.75" customHeight="1" x14ac:dyDescent="0.25">
      <c r="A866" s="28"/>
      <c r="B866" s="28"/>
      <c r="C866" s="73"/>
    </row>
    <row r="867" spans="1:3" ht="12.75" customHeight="1" x14ac:dyDescent="0.25">
      <c r="A867" s="28"/>
      <c r="B867" s="28"/>
      <c r="C867" s="73"/>
    </row>
    <row r="868" spans="1:3" ht="12.75" customHeight="1" x14ac:dyDescent="0.25">
      <c r="A868" s="28"/>
      <c r="B868" s="28"/>
      <c r="C868" s="73"/>
    </row>
    <row r="869" spans="1:3" ht="12.75" customHeight="1" x14ac:dyDescent="0.25">
      <c r="A869" s="28"/>
      <c r="B869" s="28"/>
      <c r="C869" s="73"/>
    </row>
    <row r="870" spans="1:3" ht="12.75" customHeight="1" x14ac:dyDescent="0.25">
      <c r="A870" s="28"/>
      <c r="B870" s="28"/>
      <c r="C870" s="73"/>
    </row>
    <row r="871" spans="1:3" ht="12.75" customHeight="1" x14ac:dyDescent="0.25">
      <c r="A871" s="28"/>
      <c r="B871" s="28"/>
      <c r="C871" s="73"/>
    </row>
    <row r="872" spans="1:3" ht="12.75" customHeight="1" x14ac:dyDescent="0.25">
      <c r="A872" s="28"/>
      <c r="B872" s="28"/>
      <c r="C872" s="73"/>
    </row>
    <row r="873" spans="1:3" ht="12.75" customHeight="1" x14ac:dyDescent="0.25">
      <c r="A873" s="28"/>
      <c r="B873" s="28"/>
      <c r="C873" s="73"/>
    </row>
    <row r="874" spans="1:3" ht="12.75" customHeight="1" x14ac:dyDescent="0.25">
      <c r="A874" s="28"/>
      <c r="B874" s="28"/>
      <c r="C874" s="73"/>
    </row>
    <row r="875" spans="1:3" ht="12.75" customHeight="1" x14ac:dyDescent="0.25">
      <c r="A875" s="28"/>
      <c r="B875" s="28"/>
      <c r="C875" s="73"/>
    </row>
    <row r="876" spans="1:3" ht="12.75" customHeight="1" x14ac:dyDescent="0.25">
      <c r="A876" s="28"/>
      <c r="B876" s="28"/>
      <c r="C876" s="73"/>
    </row>
    <row r="877" spans="1:3" ht="12.75" customHeight="1" x14ac:dyDescent="0.25">
      <c r="A877" s="28"/>
      <c r="B877" s="28"/>
      <c r="C877" s="73"/>
    </row>
    <row r="878" spans="1:3" ht="12.75" customHeight="1" x14ac:dyDescent="0.25">
      <c r="A878" s="28"/>
      <c r="B878" s="28"/>
      <c r="C878" s="73"/>
    </row>
    <row r="879" spans="1:3" ht="12.75" customHeight="1" x14ac:dyDescent="0.25">
      <c r="A879" s="28"/>
      <c r="B879" s="28"/>
      <c r="C879" s="73"/>
    </row>
    <row r="880" spans="1:3" ht="12.75" customHeight="1" x14ac:dyDescent="0.25">
      <c r="A880" s="28"/>
      <c r="B880" s="28"/>
      <c r="C880" s="73"/>
    </row>
    <row r="881" spans="1:3" ht="12.75" customHeight="1" x14ac:dyDescent="0.25">
      <c r="A881" s="28"/>
      <c r="B881" s="28"/>
      <c r="C881" s="73"/>
    </row>
    <row r="882" spans="1:3" ht="12.75" customHeight="1" x14ac:dyDescent="0.25">
      <c r="A882" s="28"/>
      <c r="B882" s="28"/>
      <c r="C882" s="73"/>
    </row>
    <row r="883" spans="1:3" ht="12.75" customHeight="1" x14ac:dyDescent="0.25">
      <c r="A883" s="28"/>
      <c r="B883" s="28"/>
      <c r="C883" s="73"/>
    </row>
    <row r="884" spans="1:3" ht="12.75" customHeight="1" x14ac:dyDescent="0.25">
      <c r="A884" s="28"/>
      <c r="B884" s="28"/>
      <c r="C884" s="73"/>
    </row>
    <row r="885" spans="1:3" ht="12.75" customHeight="1" x14ac:dyDescent="0.25">
      <c r="A885" s="28"/>
      <c r="B885" s="28"/>
      <c r="C885" s="73"/>
    </row>
    <row r="886" spans="1:3" ht="12.75" customHeight="1" x14ac:dyDescent="0.25">
      <c r="A886" s="28"/>
      <c r="B886" s="28"/>
      <c r="C886" s="73"/>
    </row>
    <row r="887" spans="1:3" ht="12.75" customHeight="1" x14ac:dyDescent="0.25">
      <c r="A887" s="28"/>
      <c r="B887" s="28"/>
      <c r="C887" s="73"/>
    </row>
    <row r="888" spans="1:3" ht="12.75" customHeight="1" x14ac:dyDescent="0.25">
      <c r="A888" s="28"/>
      <c r="B888" s="28"/>
      <c r="C888" s="73"/>
    </row>
    <row r="889" spans="1:3" ht="12.75" customHeight="1" x14ac:dyDescent="0.25">
      <c r="A889" s="28"/>
      <c r="B889" s="28"/>
      <c r="C889" s="73"/>
    </row>
    <row r="890" spans="1:3" ht="12.75" customHeight="1" x14ac:dyDescent="0.25">
      <c r="A890" s="28"/>
      <c r="B890" s="28"/>
      <c r="C890" s="73"/>
    </row>
    <row r="891" spans="1:3" ht="12.75" customHeight="1" x14ac:dyDescent="0.25">
      <c r="A891" s="28"/>
      <c r="B891" s="28"/>
      <c r="C891" s="73"/>
    </row>
    <row r="892" spans="1:3" ht="12.75" customHeight="1" x14ac:dyDescent="0.25">
      <c r="A892" s="28"/>
      <c r="B892" s="28"/>
      <c r="C892" s="73"/>
    </row>
    <row r="893" spans="1:3" ht="12.75" customHeight="1" x14ac:dyDescent="0.25">
      <c r="A893" s="28"/>
      <c r="B893" s="28"/>
      <c r="C893" s="73"/>
    </row>
    <row r="894" spans="1:3" ht="12.75" customHeight="1" x14ac:dyDescent="0.25">
      <c r="A894" s="28"/>
      <c r="B894" s="28"/>
      <c r="C894" s="73"/>
    </row>
    <row r="895" spans="1:3" ht="12.75" customHeight="1" x14ac:dyDescent="0.25">
      <c r="A895" s="28"/>
      <c r="B895" s="28"/>
      <c r="C895" s="73"/>
    </row>
    <row r="896" spans="1:3" ht="12.75" customHeight="1" x14ac:dyDescent="0.25">
      <c r="A896" s="28"/>
      <c r="B896" s="28"/>
      <c r="C896" s="73"/>
    </row>
    <row r="897" spans="1:3" ht="12.75" customHeight="1" x14ac:dyDescent="0.25">
      <c r="A897" s="28"/>
      <c r="B897" s="28"/>
      <c r="C897" s="73"/>
    </row>
    <row r="898" spans="1:3" ht="12.75" customHeight="1" x14ac:dyDescent="0.25">
      <c r="A898" s="28"/>
      <c r="B898" s="28"/>
      <c r="C898" s="73"/>
    </row>
    <row r="899" spans="1:3" ht="12.75" customHeight="1" x14ac:dyDescent="0.25">
      <c r="A899" s="28"/>
      <c r="B899" s="28"/>
      <c r="C899" s="73"/>
    </row>
    <row r="900" spans="1:3" ht="12.75" customHeight="1" x14ac:dyDescent="0.25">
      <c r="A900" s="28"/>
      <c r="B900" s="28"/>
      <c r="C900" s="73"/>
    </row>
    <row r="901" spans="1:3" ht="12.75" customHeight="1" x14ac:dyDescent="0.25">
      <c r="A901" s="28"/>
      <c r="B901" s="28"/>
      <c r="C901" s="73"/>
    </row>
    <row r="902" spans="1:3" ht="12.75" customHeight="1" x14ac:dyDescent="0.25">
      <c r="A902" s="28"/>
      <c r="B902" s="28"/>
      <c r="C902" s="73"/>
    </row>
    <row r="903" spans="1:3" ht="12.75" customHeight="1" x14ac:dyDescent="0.25">
      <c r="A903" s="28"/>
      <c r="B903" s="28"/>
      <c r="C903" s="73"/>
    </row>
    <row r="904" spans="1:3" ht="12.75" customHeight="1" x14ac:dyDescent="0.25">
      <c r="A904" s="28"/>
      <c r="B904" s="28"/>
      <c r="C904" s="73"/>
    </row>
    <row r="905" spans="1:3" ht="12.75" customHeight="1" x14ac:dyDescent="0.25">
      <c r="A905" s="28"/>
      <c r="B905" s="28"/>
      <c r="C905" s="73"/>
    </row>
    <row r="906" spans="1:3" ht="12.75" customHeight="1" x14ac:dyDescent="0.25">
      <c r="A906" s="28"/>
      <c r="B906" s="28"/>
      <c r="C906" s="73"/>
    </row>
    <row r="907" spans="1:3" ht="12.75" customHeight="1" x14ac:dyDescent="0.25">
      <c r="A907" s="28"/>
      <c r="B907" s="28"/>
      <c r="C907" s="73"/>
    </row>
    <row r="908" spans="1:3" ht="12.75" customHeight="1" x14ac:dyDescent="0.25">
      <c r="A908" s="28"/>
      <c r="B908" s="28"/>
      <c r="C908" s="73"/>
    </row>
    <row r="909" spans="1:3" ht="12.75" customHeight="1" x14ac:dyDescent="0.25">
      <c r="A909" s="28"/>
      <c r="B909" s="28"/>
      <c r="C909" s="73"/>
    </row>
    <row r="910" spans="1:3" ht="12.75" customHeight="1" x14ac:dyDescent="0.25">
      <c r="A910" s="28"/>
      <c r="B910" s="28"/>
      <c r="C910" s="73"/>
    </row>
    <row r="911" spans="1:3" ht="12.75" customHeight="1" x14ac:dyDescent="0.25">
      <c r="A911" s="28"/>
      <c r="B911" s="28"/>
      <c r="C911" s="73"/>
    </row>
    <row r="912" spans="1:3" ht="12.75" customHeight="1" x14ac:dyDescent="0.25">
      <c r="A912" s="28"/>
      <c r="B912" s="28"/>
      <c r="C912" s="73"/>
    </row>
    <row r="913" spans="1:3" ht="12.75" customHeight="1" x14ac:dyDescent="0.25">
      <c r="A913" s="28"/>
      <c r="B913" s="28"/>
      <c r="C913" s="73"/>
    </row>
    <row r="914" spans="1:3" ht="12.75" customHeight="1" x14ac:dyDescent="0.25">
      <c r="A914" s="28"/>
      <c r="B914" s="28"/>
      <c r="C914" s="73"/>
    </row>
    <row r="915" spans="1:3" ht="12.75" customHeight="1" x14ac:dyDescent="0.25">
      <c r="A915" s="28"/>
      <c r="B915" s="28"/>
      <c r="C915" s="73"/>
    </row>
    <row r="916" spans="1:3" ht="12.75" customHeight="1" x14ac:dyDescent="0.25">
      <c r="A916" s="28"/>
      <c r="B916" s="28"/>
      <c r="C916" s="73"/>
    </row>
    <row r="917" spans="1:3" ht="12.75" customHeight="1" x14ac:dyDescent="0.25">
      <c r="A917" s="28"/>
      <c r="B917" s="28"/>
      <c r="C917" s="73"/>
    </row>
    <row r="918" spans="1:3" ht="12.75" customHeight="1" x14ac:dyDescent="0.25">
      <c r="A918" s="28"/>
      <c r="B918" s="28"/>
      <c r="C918" s="73"/>
    </row>
    <row r="919" spans="1:3" ht="12.75" customHeight="1" x14ac:dyDescent="0.25">
      <c r="A919" s="28"/>
      <c r="B919" s="28"/>
      <c r="C919" s="73"/>
    </row>
    <row r="920" spans="1:3" ht="12.75" customHeight="1" x14ac:dyDescent="0.25">
      <c r="A920" s="28"/>
      <c r="B920" s="28"/>
      <c r="C920" s="73"/>
    </row>
    <row r="921" spans="1:3" ht="12.75" customHeight="1" x14ac:dyDescent="0.25">
      <c r="A921" s="28"/>
      <c r="B921" s="28"/>
      <c r="C921" s="73"/>
    </row>
    <row r="922" spans="1:3" ht="12.75" customHeight="1" x14ac:dyDescent="0.25">
      <c r="A922" s="28"/>
      <c r="B922" s="28"/>
      <c r="C922" s="73"/>
    </row>
    <row r="923" spans="1:3" ht="12.75" customHeight="1" x14ac:dyDescent="0.25">
      <c r="A923" s="28"/>
      <c r="B923" s="28"/>
      <c r="C923" s="73"/>
    </row>
    <row r="924" spans="1:3" ht="12.75" customHeight="1" x14ac:dyDescent="0.25">
      <c r="A924" s="28"/>
      <c r="B924" s="28"/>
      <c r="C924" s="73"/>
    </row>
    <row r="925" spans="1:3" ht="12.75" customHeight="1" x14ac:dyDescent="0.25">
      <c r="A925" s="28"/>
      <c r="B925" s="28"/>
      <c r="C925" s="73"/>
    </row>
    <row r="926" spans="1:3" ht="12.75" customHeight="1" x14ac:dyDescent="0.25">
      <c r="A926" s="28"/>
      <c r="B926" s="28"/>
      <c r="C926" s="73"/>
    </row>
    <row r="927" spans="1:3" ht="12.75" customHeight="1" x14ac:dyDescent="0.25">
      <c r="A927" s="28"/>
      <c r="B927" s="28"/>
      <c r="C927" s="73"/>
    </row>
    <row r="928" spans="1:3" ht="12.75" customHeight="1" x14ac:dyDescent="0.25">
      <c r="A928" s="28"/>
      <c r="B928" s="28"/>
      <c r="C928" s="73"/>
    </row>
    <row r="929" spans="1:3" ht="12.75" customHeight="1" x14ac:dyDescent="0.25">
      <c r="A929" s="28"/>
      <c r="B929" s="28"/>
      <c r="C929" s="73"/>
    </row>
    <row r="930" spans="1:3" ht="12.75" customHeight="1" x14ac:dyDescent="0.25">
      <c r="A930" s="28"/>
      <c r="B930" s="28"/>
      <c r="C930" s="73"/>
    </row>
    <row r="931" spans="1:3" ht="12.75" customHeight="1" x14ac:dyDescent="0.25">
      <c r="A931" s="28"/>
      <c r="B931" s="28"/>
      <c r="C931" s="73"/>
    </row>
    <row r="932" spans="1:3" ht="12.75" customHeight="1" x14ac:dyDescent="0.25">
      <c r="A932" s="28"/>
      <c r="B932" s="28"/>
      <c r="C932" s="73"/>
    </row>
    <row r="933" spans="1:3" ht="12.75" customHeight="1" x14ac:dyDescent="0.25">
      <c r="A933" s="28"/>
      <c r="B933" s="28"/>
      <c r="C933" s="73"/>
    </row>
    <row r="934" spans="1:3" ht="12.75" customHeight="1" x14ac:dyDescent="0.25">
      <c r="A934" s="28"/>
      <c r="B934" s="28"/>
      <c r="C934" s="73"/>
    </row>
    <row r="935" spans="1:3" ht="12.75" customHeight="1" x14ac:dyDescent="0.25">
      <c r="A935" s="28"/>
      <c r="B935" s="28"/>
      <c r="C935" s="73"/>
    </row>
    <row r="936" spans="1:3" ht="12.75" customHeight="1" x14ac:dyDescent="0.25">
      <c r="A936" s="28"/>
      <c r="B936" s="28"/>
      <c r="C936" s="73"/>
    </row>
    <row r="937" spans="1:3" ht="12.75" customHeight="1" x14ac:dyDescent="0.25">
      <c r="A937" s="28"/>
      <c r="B937" s="28"/>
      <c r="C937" s="73"/>
    </row>
    <row r="938" spans="1:3" ht="12.75" customHeight="1" x14ac:dyDescent="0.25">
      <c r="A938" s="28"/>
      <c r="B938" s="28"/>
      <c r="C938" s="73"/>
    </row>
    <row r="939" spans="1:3" ht="12.75" customHeight="1" x14ac:dyDescent="0.25">
      <c r="A939" s="28"/>
      <c r="B939" s="28"/>
      <c r="C939" s="73"/>
    </row>
    <row r="940" spans="1:3" ht="12.75" customHeight="1" x14ac:dyDescent="0.25">
      <c r="A940" s="28"/>
      <c r="B940" s="28"/>
      <c r="C940" s="73"/>
    </row>
    <row r="941" spans="1:3" ht="12.75" customHeight="1" x14ac:dyDescent="0.25">
      <c r="A941" s="28"/>
      <c r="B941" s="28"/>
      <c r="C941" s="73"/>
    </row>
    <row r="942" spans="1:3" ht="12.75" customHeight="1" x14ac:dyDescent="0.25">
      <c r="A942" s="28"/>
      <c r="B942" s="28"/>
      <c r="C942" s="73"/>
    </row>
    <row r="943" spans="1:3" ht="12.75" customHeight="1" x14ac:dyDescent="0.25">
      <c r="A943" s="28"/>
      <c r="B943" s="28"/>
      <c r="C943" s="73"/>
    </row>
    <row r="944" spans="1:3" ht="12.75" customHeight="1" x14ac:dyDescent="0.25">
      <c r="A944" s="28"/>
      <c r="B944" s="28"/>
      <c r="C944" s="73"/>
    </row>
    <row r="945" spans="1:3" ht="12.75" customHeight="1" x14ac:dyDescent="0.25">
      <c r="A945" s="28"/>
      <c r="B945" s="28"/>
      <c r="C945" s="73"/>
    </row>
    <row r="946" spans="1:3" ht="12.75" customHeight="1" x14ac:dyDescent="0.25">
      <c r="A946" s="28"/>
      <c r="B946" s="28"/>
      <c r="C946" s="73"/>
    </row>
    <row r="947" spans="1:3" ht="12.75" customHeight="1" x14ac:dyDescent="0.25">
      <c r="A947" s="28"/>
      <c r="B947" s="28"/>
      <c r="C947" s="73"/>
    </row>
    <row r="948" spans="1:3" ht="12.75" customHeight="1" x14ac:dyDescent="0.25">
      <c r="A948" s="28"/>
      <c r="B948" s="28"/>
      <c r="C948" s="73"/>
    </row>
    <row r="949" spans="1:3" ht="12.75" customHeight="1" x14ac:dyDescent="0.25">
      <c r="A949" s="28"/>
      <c r="B949" s="28"/>
      <c r="C949" s="73"/>
    </row>
    <row r="950" spans="1:3" ht="12.75" customHeight="1" x14ac:dyDescent="0.25">
      <c r="A950" s="28"/>
      <c r="B950" s="28"/>
      <c r="C950" s="73"/>
    </row>
    <row r="951" spans="1:3" ht="12.75" customHeight="1" x14ac:dyDescent="0.25">
      <c r="A951" s="28"/>
      <c r="B951" s="28"/>
      <c r="C951" s="73"/>
    </row>
    <row r="952" spans="1:3" ht="12.75" customHeight="1" x14ac:dyDescent="0.25">
      <c r="A952" s="28"/>
      <c r="B952" s="28"/>
      <c r="C952" s="73"/>
    </row>
    <row r="953" spans="1:3" ht="12.75" customHeight="1" x14ac:dyDescent="0.25">
      <c r="A953" s="28"/>
      <c r="B953" s="28"/>
      <c r="C953" s="73"/>
    </row>
    <row r="954" spans="1:3" ht="12.75" customHeight="1" x14ac:dyDescent="0.25">
      <c r="A954" s="28"/>
      <c r="B954" s="28"/>
      <c r="C954" s="73"/>
    </row>
    <row r="955" spans="1:3" ht="12.75" customHeight="1" x14ac:dyDescent="0.25">
      <c r="A955" s="28"/>
      <c r="B955" s="28"/>
      <c r="C955" s="73"/>
    </row>
    <row r="956" spans="1:3" ht="12.75" customHeight="1" x14ac:dyDescent="0.25">
      <c r="A956" s="28"/>
      <c r="B956" s="28"/>
      <c r="C956" s="73"/>
    </row>
    <row r="957" spans="1:3" ht="12.75" customHeight="1" x14ac:dyDescent="0.25">
      <c r="A957" s="28"/>
      <c r="B957" s="28"/>
      <c r="C957" s="73"/>
    </row>
    <row r="958" spans="1:3" ht="12.75" customHeight="1" x14ac:dyDescent="0.25">
      <c r="A958" s="28"/>
      <c r="B958" s="28"/>
      <c r="C958" s="73"/>
    </row>
    <row r="959" spans="1:3" ht="12.75" customHeight="1" x14ac:dyDescent="0.25">
      <c r="A959" s="28"/>
      <c r="B959" s="28"/>
      <c r="C959" s="73"/>
    </row>
    <row r="960" spans="1:3" ht="12.75" customHeight="1" x14ac:dyDescent="0.25">
      <c r="A960" s="28"/>
      <c r="B960" s="28"/>
      <c r="C960" s="73"/>
    </row>
    <row r="961" spans="1:3" ht="12.75" customHeight="1" x14ac:dyDescent="0.25">
      <c r="A961" s="28"/>
      <c r="B961" s="28"/>
      <c r="C961" s="73"/>
    </row>
    <row r="962" spans="1:3" ht="12.75" customHeight="1" x14ac:dyDescent="0.25">
      <c r="A962" s="28"/>
      <c r="B962" s="28"/>
      <c r="C962" s="73"/>
    </row>
    <row r="963" spans="1:3" ht="12.75" customHeight="1" x14ac:dyDescent="0.25">
      <c r="A963" s="28"/>
      <c r="B963" s="28"/>
      <c r="C963" s="73"/>
    </row>
    <row r="964" spans="1:3" ht="12.75" customHeight="1" x14ac:dyDescent="0.25">
      <c r="A964" s="28"/>
      <c r="B964" s="28"/>
      <c r="C964" s="73"/>
    </row>
    <row r="965" spans="1:3" ht="12.75" customHeight="1" x14ac:dyDescent="0.25">
      <c r="A965" s="28"/>
      <c r="B965" s="28"/>
      <c r="C965" s="73"/>
    </row>
    <row r="966" spans="1:3" ht="12.75" customHeight="1" x14ac:dyDescent="0.25">
      <c r="A966" s="28"/>
      <c r="B966" s="28"/>
      <c r="C966" s="73"/>
    </row>
    <row r="967" spans="1:3" ht="12.75" customHeight="1" x14ac:dyDescent="0.25">
      <c r="A967" s="28"/>
      <c r="B967" s="28"/>
      <c r="C967" s="73"/>
    </row>
    <row r="968" spans="1:3" ht="12.75" customHeight="1" x14ac:dyDescent="0.25">
      <c r="A968" s="28"/>
      <c r="B968" s="28"/>
      <c r="C968" s="73"/>
    </row>
    <row r="969" spans="1:3" ht="12.75" customHeight="1" x14ac:dyDescent="0.25">
      <c r="A969" s="28"/>
      <c r="B969" s="28"/>
      <c r="C969" s="73"/>
    </row>
    <row r="970" spans="1:3" ht="12.75" customHeight="1" x14ac:dyDescent="0.25">
      <c r="A970" s="28"/>
      <c r="B970" s="28"/>
      <c r="C970" s="73"/>
    </row>
    <row r="971" spans="1:3" ht="12.75" customHeight="1" x14ac:dyDescent="0.25">
      <c r="A971" s="28"/>
      <c r="B971" s="28"/>
      <c r="C971" s="73"/>
    </row>
    <row r="972" spans="1:3" ht="12.75" customHeight="1" x14ac:dyDescent="0.25">
      <c r="A972" s="28"/>
      <c r="B972" s="28"/>
      <c r="C972" s="73"/>
    </row>
    <row r="973" spans="1:3" ht="12.75" customHeight="1" x14ac:dyDescent="0.25">
      <c r="A973" s="28"/>
      <c r="B973" s="28"/>
      <c r="C973" s="73"/>
    </row>
    <row r="974" spans="1:3" ht="12.75" customHeight="1" x14ac:dyDescent="0.25">
      <c r="A974" s="28"/>
      <c r="B974" s="28"/>
      <c r="C974" s="73"/>
    </row>
    <row r="975" spans="1:3" ht="12.75" customHeight="1" x14ac:dyDescent="0.25">
      <c r="A975" s="28"/>
      <c r="B975" s="28"/>
      <c r="C975" s="73"/>
    </row>
    <row r="976" spans="1:3" ht="12.75" customHeight="1" x14ac:dyDescent="0.25">
      <c r="A976" s="28"/>
      <c r="B976" s="28"/>
      <c r="C976" s="73"/>
    </row>
    <row r="977" spans="1:3" ht="12.75" customHeight="1" x14ac:dyDescent="0.25">
      <c r="A977" s="28"/>
      <c r="B977" s="28"/>
      <c r="C977" s="73"/>
    </row>
    <row r="978" spans="1:3" ht="12.75" customHeight="1" x14ac:dyDescent="0.25">
      <c r="A978" s="28"/>
      <c r="B978" s="28"/>
      <c r="C978" s="73"/>
    </row>
    <row r="979" spans="1:3" ht="12.75" customHeight="1" x14ac:dyDescent="0.25">
      <c r="A979" s="28"/>
      <c r="B979" s="28"/>
      <c r="C979" s="73"/>
    </row>
    <row r="980" spans="1:3" ht="12.75" customHeight="1" x14ac:dyDescent="0.25">
      <c r="A980" s="28"/>
      <c r="B980" s="28"/>
      <c r="C980" s="73"/>
    </row>
    <row r="981" spans="1:3" ht="12.75" customHeight="1" x14ac:dyDescent="0.25">
      <c r="A981" s="28"/>
      <c r="B981" s="28"/>
      <c r="C981" s="73"/>
    </row>
    <row r="982" spans="1:3" ht="12.75" customHeight="1" x14ac:dyDescent="0.25">
      <c r="A982" s="28"/>
      <c r="B982" s="28"/>
      <c r="C982" s="73"/>
    </row>
    <row r="983" spans="1:3" ht="12.75" customHeight="1" x14ac:dyDescent="0.25">
      <c r="A983" s="28"/>
      <c r="B983" s="28"/>
      <c r="C983" s="73"/>
    </row>
    <row r="984" spans="1:3" ht="12.75" customHeight="1" x14ac:dyDescent="0.25">
      <c r="A984" s="28"/>
      <c r="B984" s="28"/>
      <c r="C984" s="73"/>
    </row>
    <row r="985" spans="1:3" ht="12.75" customHeight="1" x14ac:dyDescent="0.25">
      <c r="A985" s="28"/>
      <c r="B985" s="28"/>
      <c r="C985" s="73"/>
    </row>
    <row r="986" spans="1:3" ht="12.75" customHeight="1" x14ac:dyDescent="0.25">
      <c r="A986" s="28"/>
      <c r="B986" s="28"/>
      <c r="C986" s="73"/>
    </row>
    <row r="987" spans="1:3" ht="12.75" customHeight="1" x14ac:dyDescent="0.25">
      <c r="A987" s="28"/>
      <c r="B987" s="28"/>
      <c r="C987" s="73"/>
    </row>
    <row r="988" spans="1:3" ht="12.75" customHeight="1" x14ac:dyDescent="0.25">
      <c r="A988" s="28"/>
      <c r="B988" s="28"/>
      <c r="C988" s="73"/>
    </row>
    <row r="989" spans="1:3" ht="12.75" customHeight="1" x14ac:dyDescent="0.25">
      <c r="A989" s="28"/>
      <c r="B989" s="28"/>
      <c r="C989" s="73"/>
    </row>
    <row r="990" spans="1:3" ht="12.75" customHeight="1" x14ac:dyDescent="0.25">
      <c r="A990" s="28"/>
      <c r="B990" s="28"/>
      <c r="C990" s="73"/>
    </row>
    <row r="991" spans="1:3" ht="12.75" customHeight="1" x14ac:dyDescent="0.25">
      <c r="A991" s="28"/>
      <c r="B991" s="28"/>
      <c r="C991" s="73"/>
    </row>
    <row r="992" spans="1:3" ht="12.75" customHeight="1" x14ac:dyDescent="0.25">
      <c r="A992" s="28"/>
      <c r="B992" s="28"/>
      <c r="C992" s="73"/>
    </row>
    <row r="993" spans="1:3" ht="12.75" customHeight="1" x14ac:dyDescent="0.25">
      <c r="A993" s="28"/>
      <c r="B993" s="28"/>
      <c r="C993" s="73"/>
    </row>
    <row r="994" spans="1:3" ht="12.75" customHeight="1" x14ac:dyDescent="0.25">
      <c r="A994" s="28"/>
      <c r="B994" s="28"/>
      <c r="C994" s="73"/>
    </row>
    <row r="995" spans="1:3" ht="12.75" customHeight="1" x14ac:dyDescent="0.25">
      <c r="A995" s="28"/>
      <c r="B995" s="28"/>
      <c r="C995" s="73"/>
    </row>
    <row r="996" spans="1:3" ht="12.75" customHeight="1" x14ac:dyDescent="0.25">
      <c r="A996" s="28"/>
      <c r="B996" s="28"/>
      <c r="C996" s="73"/>
    </row>
    <row r="997" spans="1:3" ht="12.75" customHeight="1" x14ac:dyDescent="0.25">
      <c r="A997" s="28"/>
      <c r="B997" s="28"/>
      <c r="C997" s="73"/>
    </row>
    <row r="998" spans="1:3" ht="12.75" customHeight="1" x14ac:dyDescent="0.25">
      <c r="A998" s="28"/>
      <c r="B998" s="28"/>
      <c r="C998" s="73"/>
    </row>
    <row r="999" spans="1:3" ht="12.75" customHeight="1" x14ac:dyDescent="0.25">
      <c r="A999" s="28"/>
      <c r="B999" s="28"/>
      <c r="C999" s="73"/>
    </row>
    <row r="1000" spans="1:3" ht="12.75" customHeight="1" x14ac:dyDescent="0.25">
      <c r="A1000" s="28"/>
      <c r="B1000" s="28"/>
      <c r="C1000" s="73"/>
    </row>
    <row r="1001" spans="1:3" ht="12.75" customHeight="1" x14ac:dyDescent="0.25">
      <c r="A1001" s="28"/>
      <c r="B1001" s="28"/>
      <c r="C1001" s="73"/>
    </row>
    <row r="1002" spans="1:3" ht="12.75" customHeight="1" x14ac:dyDescent="0.25">
      <c r="A1002" s="28"/>
      <c r="B1002" s="28"/>
      <c r="C1002" s="73"/>
    </row>
    <row r="1003" spans="1:3" ht="12.75" customHeight="1" x14ac:dyDescent="0.25">
      <c r="A1003" s="28"/>
      <c r="B1003" s="28"/>
      <c r="C1003" s="73"/>
    </row>
    <row r="1004" spans="1:3" ht="12.75" customHeight="1" x14ac:dyDescent="0.25">
      <c r="A1004" s="28"/>
      <c r="B1004" s="28"/>
      <c r="C1004" s="73"/>
    </row>
    <row r="1005" spans="1:3" ht="12.75" customHeight="1" x14ac:dyDescent="0.25">
      <c r="A1005" s="28"/>
      <c r="B1005" s="28"/>
      <c r="C1005" s="73"/>
    </row>
    <row r="1006" spans="1:3" ht="12.75" customHeight="1" x14ac:dyDescent="0.25">
      <c r="A1006" s="28"/>
      <c r="B1006" s="28"/>
      <c r="C1006" s="73"/>
    </row>
    <row r="1007" spans="1:3" ht="12.75" customHeight="1" x14ac:dyDescent="0.25">
      <c r="A1007" s="28"/>
      <c r="B1007" s="28"/>
      <c r="C1007" s="73"/>
    </row>
    <row r="1008" spans="1:3" ht="12.75" customHeight="1" x14ac:dyDescent="0.25">
      <c r="A1008" s="28"/>
      <c r="B1008" s="28"/>
      <c r="C1008" s="73"/>
    </row>
    <row r="1009" spans="1:3" ht="12.75" customHeight="1" x14ac:dyDescent="0.25">
      <c r="A1009" s="28"/>
      <c r="B1009" s="28"/>
      <c r="C1009" s="73"/>
    </row>
    <row r="1010" spans="1:3" ht="12.75" customHeight="1" x14ac:dyDescent="0.25">
      <c r="A1010" s="28"/>
      <c r="B1010" s="28"/>
      <c r="C1010" s="73"/>
    </row>
    <row r="1011" spans="1:3" ht="12.75" customHeight="1" x14ac:dyDescent="0.25">
      <c r="A1011" s="28"/>
      <c r="B1011" s="28"/>
      <c r="C1011" s="73"/>
    </row>
    <row r="1012" spans="1:3" ht="12.75" customHeight="1" x14ac:dyDescent="0.25">
      <c r="A1012" s="28"/>
      <c r="B1012" s="28"/>
      <c r="C1012" s="73"/>
    </row>
    <row r="1013" spans="1:3" ht="12.75" customHeight="1" x14ac:dyDescent="0.25">
      <c r="A1013" s="28"/>
      <c r="B1013" s="28"/>
      <c r="C1013" s="73"/>
    </row>
    <row r="1014" spans="1:3" ht="12.75" customHeight="1" x14ac:dyDescent="0.25">
      <c r="A1014" s="28"/>
      <c r="B1014" s="28"/>
      <c r="C1014" s="73"/>
    </row>
    <row r="1015" spans="1:3" ht="12.75" customHeight="1" x14ac:dyDescent="0.25">
      <c r="A1015" s="28"/>
      <c r="B1015" s="28"/>
      <c r="C1015" s="73"/>
    </row>
    <row r="1016" spans="1:3" ht="12.75" customHeight="1" x14ac:dyDescent="0.25">
      <c r="A1016" s="28"/>
      <c r="B1016" s="28"/>
      <c r="C1016" s="73"/>
    </row>
    <row r="1017" spans="1:3" ht="12.75" customHeight="1" x14ac:dyDescent="0.25">
      <c r="A1017" s="28"/>
      <c r="B1017" s="28"/>
      <c r="C1017" s="73"/>
    </row>
    <row r="1018" spans="1:3" ht="12.75" customHeight="1" x14ac:dyDescent="0.25">
      <c r="A1018" s="28"/>
      <c r="B1018" s="28"/>
      <c r="C1018" s="73"/>
    </row>
    <row r="1019" spans="1:3" ht="12.75" customHeight="1" x14ac:dyDescent="0.25">
      <c r="A1019" s="28"/>
      <c r="B1019" s="28"/>
      <c r="C1019" s="73"/>
    </row>
    <row r="1020" spans="1:3" ht="12.75" customHeight="1" x14ac:dyDescent="0.25">
      <c r="A1020" s="28"/>
      <c r="B1020" s="28"/>
      <c r="C1020" s="73"/>
    </row>
    <row r="1021" spans="1:3" ht="12.75" customHeight="1" x14ac:dyDescent="0.25">
      <c r="A1021" s="28"/>
      <c r="B1021" s="28"/>
      <c r="C1021" s="73"/>
    </row>
    <row r="1022" spans="1:3" ht="12.75" customHeight="1" x14ac:dyDescent="0.25">
      <c r="A1022" s="28"/>
      <c r="B1022" s="28"/>
      <c r="C1022" s="73"/>
    </row>
    <row r="1023" spans="1:3" ht="12.75" customHeight="1" x14ac:dyDescent="0.25">
      <c r="A1023" s="28"/>
      <c r="B1023" s="28"/>
      <c r="C1023" s="73"/>
    </row>
    <row r="1024" spans="1:3" ht="12.75" customHeight="1" x14ac:dyDescent="0.25">
      <c r="A1024" s="28"/>
      <c r="B1024" s="28"/>
      <c r="C1024" s="73"/>
    </row>
    <row r="1025" spans="1:3" ht="12.75" customHeight="1" x14ac:dyDescent="0.25">
      <c r="A1025" s="28"/>
      <c r="B1025" s="28"/>
      <c r="C1025" s="73"/>
    </row>
    <row r="1026" spans="1:3" ht="12.75" customHeight="1" x14ac:dyDescent="0.25">
      <c r="A1026" s="28"/>
      <c r="B1026" s="28"/>
      <c r="C1026" s="73"/>
    </row>
    <row r="1027" spans="1:3" ht="12.75" customHeight="1" x14ac:dyDescent="0.25">
      <c r="A1027" s="28"/>
      <c r="B1027" s="28"/>
      <c r="C1027" s="73"/>
    </row>
    <row r="1028" spans="1:3" ht="12.75" customHeight="1" x14ac:dyDescent="0.25">
      <c r="A1028" s="28"/>
      <c r="B1028" s="28"/>
      <c r="C1028" s="73"/>
    </row>
    <row r="1029" spans="1:3" ht="12.75" customHeight="1" x14ac:dyDescent="0.25">
      <c r="A1029" s="28"/>
      <c r="B1029" s="28"/>
      <c r="C1029" s="73"/>
    </row>
    <row r="1030" spans="1:3" ht="12.75" customHeight="1" x14ac:dyDescent="0.25">
      <c r="A1030" s="28"/>
      <c r="B1030" s="28"/>
      <c r="C1030" s="73"/>
    </row>
    <row r="1031" spans="1:3" ht="12.75" customHeight="1" x14ac:dyDescent="0.25">
      <c r="A1031" s="28"/>
      <c r="B1031" s="28"/>
      <c r="C1031" s="73"/>
    </row>
    <row r="1032" spans="1:3" ht="12.75" customHeight="1" x14ac:dyDescent="0.25">
      <c r="A1032" s="28"/>
      <c r="B1032" s="28"/>
      <c r="C1032" s="73"/>
    </row>
    <row r="1033" spans="1:3" ht="12.75" customHeight="1" x14ac:dyDescent="0.25">
      <c r="A1033" s="28"/>
      <c r="B1033" s="28"/>
      <c r="C1033" s="73"/>
    </row>
    <row r="1034" spans="1:3" ht="12.75" customHeight="1" x14ac:dyDescent="0.25">
      <c r="A1034" s="28"/>
      <c r="B1034" s="28"/>
      <c r="C1034" s="73"/>
    </row>
    <row r="1035" spans="1:3" ht="12.75" customHeight="1" x14ac:dyDescent="0.25">
      <c r="A1035" s="28"/>
      <c r="B1035" s="28"/>
      <c r="C1035" s="73"/>
    </row>
    <row r="1036" spans="1:3" ht="12.75" customHeight="1" x14ac:dyDescent="0.25">
      <c r="A1036" s="28"/>
      <c r="B1036" s="28"/>
      <c r="C1036" s="73"/>
    </row>
    <row r="1037" spans="1:3" ht="12.75" customHeight="1" x14ac:dyDescent="0.25">
      <c r="A1037" s="28"/>
      <c r="B1037" s="28"/>
      <c r="C1037" s="73"/>
    </row>
    <row r="1038" spans="1:3" ht="12.75" customHeight="1" x14ac:dyDescent="0.25">
      <c r="A1038" s="28"/>
      <c r="B1038" s="28"/>
      <c r="C1038" s="73"/>
    </row>
    <row r="1039" spans="1:3" ht="12.75" customHeight="1" x14ac:dyDescent="0.25">
      <c r="A1039" s="28"/>
      <c r="B1039" s="28"/>
      <c r="C1039" s="73"/>
    </row>
    <row r="1040" spans="1:3" ht="12.75" customHeight="1" x14ac:dyDescent="0.25">
      <c r="A1040" s="28"/>
      <c r="B1040" s="28"/>
      <c r="C1040" s="73"/>
    </row>
    <row r="1041" spans="1:3" ht="12.75" customHeight="1" x14ac:dyDescent="0.25">
      <c r="A1041" s="28"/>
      <c r="B1041" s="28"/>
      <c r="C1041" s="73"/>
    </row>
    <row r="1042" spans="1:3" ht="12.75" customHeight="1" x14ac:dyDescent="0.25">
      <c r="A1042" s="28"/>
      <c r="B1042" s="28"/>
      <c r="C1042" s="73"/>
    </row>
    <row r="1043" spans="1:3" ht="12.75" customHeight="1" x14ac:dyDescent="0.25">
      <c r="A1043" s="28"/>
      <c r="B1043" s="28"/>
      <c r="C1043" s="73"/>
    </row>
    <row r="1044" spans="1:3" ht="12.75" customHeight="1" x14ac:dyDescent="0.25">
      <c r="A1044" s="28"/>
      <c r="B1044" s="28"/>
      <c r="C1044" s="73"/>
    </row>
    <row r="1045" spans="1:3" ht="12.75" customHeight="1" x14ac:dyDescent="0.25">
      <c r="A1045" s="28"/>
      <c r="B1045" s="28"/>
      <c r="C1045" s="73"/>
    </row>
    <row r="1046" spans="1:3" ht="12.75" customHeight="1" x14ac:dyDescent="0.25">
      <c r="A1046" s="28"/>
      <c r="B1046" s="28"/>
      <c r="C1046" s="73"/>
    </row>
    <row r="1047" spans="1:3" ht="12.75" customHeight="1" x14ac:dyDescent="0.25">
      <c r="A1047" s="28"/>
      <c r="B1047" s="28"/>
      <c r="C1047" s="73"/>
    </row>
    <row r="1048" spans="1:3" ht="12.75" customHeight="1" x14ac:dyDescent="0.25">
      <c r="A1048" s="28"/>
      <c r="B1048" s="28"/>
      <c r="C1048" s="73"/>
    </row>
    <row r="1049" spans="1:3" ht="12.75" customHeight="1" x14ac:dyDescent="0.25">
      <c r="A1049" s="28"/>
      <c r="B1049" s="28"/>
      <c r="C1049" s="73"/>
    </row>
    <row r="1050" spans="1:3" ht="12.75" customHeight="1" x14ac:dyDescent="0.25">
      <c r="A1050" s="28"/>
      <c r="B1050" s="28"/>
      <c r="C1050" s="73"/>
    </row>
    <row r="1051" spans="1:3" ht="12.75" customHeight="1" x14ac:dyDescent="0.25">
      <c r="A1051" s="28"/>
      <c r="B1051" s="28"/>
      <c r="C1051" s="73"/>
    </row>
    <row r="1052" spans="1:3" ht="12.75" customHeight="1" x14ac:dyDescent="0.25">
      <c r="A1052" s="28"/>
      <c r="B1052" s="28"/>
      <c r="C1052" s="73"/>
    </row>
    <row r="1053" spans="1:3" ht="12.75" customHeight="1" x14ac:dyDescent="0.25">
      <c r="A1053" s="28"/>
      <c r="B1053" s="28"/>
      <c r="C1053" s="73"/>
    </row>
    <row r="1054" spans="1:3" ht="12.75" customHeight="1" x14ac:dyDescent="0.25">
      <c r="A1054" s="28"/>
      <c r="B1054" s="28"/>
      <c r="C1054" s="73"/>
    </row>
    <row r="1055" spans="1:3" ht="12.75" customHeight="1" x14ac:dyDescent="0.25">
      <c r="A1055" s="28"/>
      <c r="B1055" s="28"/>
      <c r="C1055" s="73"/>
    </row>
    <row r="1056" spans="1:3" ht="12.75" customHeight="1" x14ac:dyDescent="0.25">
      <c r="A1056" s="28"/>
      <c r="B1056" s="28"/>
      <c r="C1056" s="73"/>
    </row>
    <row r="1057" spans="1:3" ht="12.75" customHeight="1" x14ac:dyDescent="0.25">
      <c r="A1057" s="28"/>
      <c r="B1057" s="28"/>
      <c r="C1057" s="73"/>
    </row>
    <row r="1058" spans="1:3" ht="12.75" customHeight="1" x14ac:dyDescent="0.25">
      <c r="A1058" s="28"/>
      <c r="B1058" s="28"/>
      <c r="C1058" s="73"/>
    </row>
    <row r="1059" spans="1:3" ht="12.75" customHeight="1" x14ac:dyDescent="0.25">
      <c r="A1059" s="28"/>
      <c r="B1059" s="28"/>
      <c r="C1059" s="73"/>
    </row>
  </sheetData>
  <mergeCells count="42">
    <mergeCell ref="B344:C344"/>
    <mergeCell ref="B346:C346"/>
    <mergeCell ref="B362:C362"/>
    <mergeCell ref="B264:C264"/>
    <mergeCell ref="B280:C280"/>
    <mergeCell ref="B289:C289"/>
    <mergeCell ref="B291:C291"/>
    <mergeCell ref="B307:C307"/>
    <mergeCell ref="B262:C262"/>
    <mergeCell ref="B317:C317"/>
    <mergeCell ref="B319:C319"/>
    <mergeCell ref="B335:C335"/>
    <mergeCell ref="B235:C235"/>
    <mergeCell ref="B237:C237"/>
    <mergeCell ref="B253:C253"/>
    <mergeCell ref="B198:C198"/>
    <mergeCell ref="B208:C208"/>
    <mergeCell ref="B210:C210"/>
    <mergeCell ref="B226:C226"/>
    <mergeCell ref="B157:C157"/>
    <mergeCell ref="B172:C172"/>
    <mergeCell ref="B181:C181"/>
    <mergeCell ref="B183:C183"/>
    <mergeCell ref="B129:C129"/>
    <mergeCell ref="B131:C131"/>
    <mergeCell ref="B146:C146"/>
    <mergeCell ref="B155:C155"/>
    <mergeCell ref="B103:C103"/>
    <mergeCell ref="B105:C105"/>
    <mergeCell ref="B120:C120"/>
    <mergeCell ref="B77:C77"/>
    <mergeCell ref="B79:C79"/>
    <mergeCell ref="B94:C94"/>
    <mergeCell ref="B27:C27"/>
    <mergeCell ref="B44:C44"/>
    <mergeCell ref="B52:C52"/>
    <mergeCell ref="B54:C54"/>
    <mergeCell ref="B5:C5"/>
    <mergeCell ref="B7:C7"/>
    <mergeCell ref="B18:C18"/>
    <mergeCell ref="B25:C25"/>
    <mergeCell ref="B69:C69"/>
  </mergeCells>
  <conditionalFormatting sqref="A1:B1 D1:U302 A5:B7 A9:B18 A38:C43 A70:C72 A95:C98 A121:C124 A147:C150 A173:C176 A199:C203 A227:C230 A254:C257 A281:C284 D303 F303:U303 D304:U364 A308:C312 A336:C339 A363:C364">
    <cfRule type="expression" dxfId="41" priority="330" stopIfTrue="1">
      <formula>ISERROR(A1)</formula>
    </cfRule>
  </conditionalFormatting>
  <conditionalFormatting sqref="A21:B21">
    <cfRule type="expression" dxfId="40" priority="327" stopIfTrue="1">
      <formula>ISERROR(A21)</formula>
    </cfRule>
  </conditionalFormatting>
  <conditionalFormatting sqref="A25:B37">
    <cfRule type="expression" dxfId="39" priority="13" stopIfTrue="1">
      <formula>ISERROR(A25)</formula>
    </cfRule>
  </conditionalFormatting>
  <conditionalFormatting sqref="A48:B48">
    <cfRule type="expression" dxfId="38" priority="326" stopIfTrue="1">
      <formula>ISERROR(A48)</formula>
    </cfRule>
  </conditionalFormatting>
  <conditionalFormatting sqref="A52:B64">
    <cfRule type="expression" dxfId="37" priority="12" stopIfTrue="1">
      <formula>ISERROR(A52)</formula>
    </cfRule>
  </conditionalFormatting>
  <conditionalFormatting sqref="A73:B73">
    <cfRule type="expression" dxfId="36" priority="325" stopIfTrue="1">
      <formula>ISERROR(A73)</formula>
    </cfRule>
  </conditionalFormatting>
  <conditionalFormatting sqref="A77:B89">
    <cfRule type="expression" dxfId="35" priority="11" stopIfTrue="1">
      <formula>ISERROR(A77)</formula>
    </cfRule>
  </conditionalFormatting>
  <conditionalFormatting sqref="A99:B99">
    <cfRule type="expression" dxfId="34" priority="324" stopIfTrue="1">
      <formula>ISERROR(A99)</formula>
    </cfRule>
  </conditionalFormatting>
  <conditionalFormatting sqref="A103:B115">
    <cfRule type="expression" dxfId="33" priority="10" stopIfTrue="1">
      <formula>ISERROR(A103)</formula>
    </cfRule>
  </conditionalFormatting>
  <conditionalFormatting sqref="A125:B125">
    <cfRule type="expression" dxfId="32" priority="323" stopIfTrue="1">
      <formula>ISERROR(A125)</formula>
    </cfRule>
  </conditionalFormatting>
  <conditionalFormatting sqref="A129:B141">
    <cfRule type="expression" dxfId="31" priority="9" stopIfTrue="1">
      <formula>ISERROR(A129)</formula>
    </cfRule>
  </conditionalFormatting>
  <conditionalFormatting sqref="A151:B151">
    <cfRule type="expression" dxfId="30" priority="322" stopIfTrue="1">
      <formula>ISERROR(A151)</formula>
    </cfRule>
  </conditionalFormatting>
  <conditionalFormatting sqref="A155:B167">
    <cfRule type="expression" dxfId="29" priority="8" stopIfTrue="1">
      <formula>ISERROR(A155)</formula>
    </cfRule>
  </conditionalFormatting>
  <conditionalFormatting sqref="A177:B177">
    <cfRule type="expression" dxfId="28" priority="321" stopIfTrue="1">
      <formula>ISERROR(A177)</formula>
    </cfRule>
  </conditionalFormatting>
  <conditionalFormatting sqref="A181:B193">
    <cfRule type="expression" dxfId="27" priority="7" stopIfTrue="1">
      <formula>ISERROR(A181)</formula>
    </cfRule>
  </conditionalFormatting>
  <conditionalFormatting sqref="A204:B204">
    <cfRule type="expression" dxfId="26" priority="320" stopIfTrue="1">
      <formula>ISERROR(A204)</formula>
    </cfRule>
  </conditionalFormatting>
  <conditionalFormatting sqref="A208:B220">
    <cfRule type="expression" dxfId="25" priority="6" stopIfTrue="1">
      <formula>ISERROR(A208)</formula>
    </cfRule>
  </conditionalFormatting>
  <conditionalFormatting sqref="A231:B231">
    <cfRule type="expression" dxfId="24" priority="319" stopIfTrue="1">
      <formula>ISERROR(A231)</formula>
    </cfRule>
  </conditionalFormatting>
  <conditionalFormatting sqref="A235:B247">
    <cfRule type="expression" dxfId="23" priority="5" stopIfTrue="1">
      <formula>ISERROR(A235)</formula>
    </cfRule>
  </conditionalFormatting>
  <conditionalFormatting sqref="A258:B258">
    <cfRule type="expression" dxfId="22" priority="318" stopIfTrue="1">
      <formula>ISERROR(A258)</formula>
    </cfRule>
  </conditionalFormatting>
  <conditionalFormatting sqref="A262:B274">
    <cfRule type="expression" dxfId="21" priority="4" stopIfTrue="1">
      <formula>ISERROR(A262)</formula>
    </cfRule>
  </conditionalFormatting>
  <conditionalFormatting sqref="A285:B285">
    <cfRule type="expression" dxfId="20" priority="317" stopIfTrue="1">
      <formula>ISERROR(A285)</formula>
    </cfRule>
  </conditionalFormatting>
  <conditionalFormatting sqref="A289:B301">
    <cfRule type="expression" dxfId="19" priority="3" stopIfTrue="1">
      <formula>ISERROR(A289)</formula>
    </cfRule>
  </conditionalFormatting>
  <conditionalFormatting sqref="A313:B313">
    <cfRule type="expression" dxfId="18" priority="316" stopIfTrue="1">
      <formula>ISERROR(A313)</formula>
    </cfRule>
  </conditionalFormatting>
  <conditionalFormatting sqref="A317:B329">
    <cfRule type="expression" dxfId="17" priority="2" stopIfTrue="1">
      <formula>ISERROR(A317)</formula>
    </cfRule>
  </conditionalFormatting>
  <conditionalFormatting sqref="A340:B340">
    <cfRule type="expression" dxfId="16" priority="315" stopIfTrue="1">
      <formula>ISERROR(A340)</formula>
    </cfRule>
  </conditionalFormatting>
  <conditionalFormatting sqref="A344:B356">
    <cfRule type="expression" dxfId="15" priority="1" stopIfTrue="1">
      <formula>ISERROR(A344)</formula>
    </cfRule>
  </conditionalFormatting>
  <conditionalFormatting sqref="A2:C4 A8:C8 C9:C17 A19:C20 A22:C24 A44:B44 A45:C47 A49:C51 A69:B69 A74:C76 A94:B94 A100:C102 A120:B120 A126:C128 A146:B146 A152:C154 A172:B172 A178:C180 A198:B198 A205:C207 A226:B226 A232:C234 A253:B253 A259:C261 A280:B280 A286:C288 A307:B307 A314:C316 A335:B335 A341:C343 A362:B362">
    <cfRule type="expression" dxfId="14" priority="328" stopIfTrue="1">
      <formula>ISERROR(A2)</formula>
    </cfRule>
  </conditionalFormatting>
  <conditionalFormatting sqref="A65:C68 A90:C93 A116:C119 A142:C145 A168:C171 A194:C197 A221:C225 A248:C252 A275:C279 A302:C306 A330:C334 A357:C361">
    <cfRule type="expression" dxfId="13" priority="329" stopIfTrue="1">
      <formula>ISERROR(A65)</formula>
    </cfRule>
  </conditionalFormatting>
  <conditionalFormatting sqref="C28:C37">
    <cfRule type="expression" dxfId="12" priority="26" stopIfTrue="1">
      <formula>ISERROR(C28)</formula>
    </cfRule>
  </conditionalFormatting>
  <conditionalFormatting sqref="C55:C64">
    <cfRule type="expression" dxfId="11" priority="25" stopIfTrue="1">
      <formula>ISERROR(C55)</formula>
    </cfRule>
  </conditionalFormatting>
  <conditionalFormatting sqref="C80:C89">
    <cfRule type="expression" dxfId="10" priority="24" stopIfTrue="1">
      <formula>ISERROR(C80)</formula>
    </cfRule>
  </conditionalFormatting>
  <conditionalFormatting sqref="C106:C115">
    <cfRule type="expression" dxfId="9" priority="23" stopIfTrue="1">
      <formula>ISERROR(C106)</formula>
    </cfRule>
  </conditionalFormatting>
  <conditionalFormatting sqref="C132:C141">
    <cfRule type="expression" dxfId="8" priority="22" stopIfTrue="1">
      <formula>ISERROR(C132)</formula>
    </cfRule>
  </conditionalFormatting>
  <conditionalFormatting sqref="C158:C167">
    <cfRule type="expression" dxfId="7" priority="21" stopIfTrue="1">
      <formula>ISERROR(C158)</formula>
    </cfRule>
  </conditionalFormatting>
  <conditionalFormatting sqref="C184:C193">
    <cfRule type="expression" dxfId="6" priority="20" stopIfTrue="1">
      <formula>ISERROR(C184)</formula>
    </cfRule>
  </conditionalFormatting>
  <conditionalFormatting sqref="C211:C220">
    <cfRule type="expression" dxfId="5" priority="19" stopIfTrue="1">
      <formula>ISERROR(C211)</formula>
    </cfRule>
  </conditionalFormatting>
  <conditionalFormatting sqref="C238:C247">
    <cfRule type="expression" dxfId="4" priority="18" stopIfTrue="1">
      <formula>ISERROR(C238)</formula>
    </cfRule>
  </conditionalFormatting>
  <conditionalFormatting sqref="C265:C274">
    <cfRule type="expression" dxfId="3" priority="17" stopIfTrue="1">
      <formula>ISERROR(C265)</formula>
    </cfRule>
  </conditionalFormatting>
  <conditionalFormatting sqref="C292:C301">
    <cfRule type="expression" dxfId="2" priority="16" stopIfTrue="1">
      <formula>ISERROR(C292)</formula>
    </cfRule>
  </conditionalFormatting>
  <conditionalFormatting sqref="C320:C329">
    <cfRule type="expression" dxfId="1" priority="15" stopIfTrue="1">
      <formula>ISERROR(C320)</formula>
    </cfRule>
  </conditionalFormatting>
  <conditionalFormatting sqref="C347:C356">
    <cfRule type="expression" dxfId="0" priority="14" stopIfTrue="1">
      <formula>ISERROR(C347)</formula>
    </cfRule>
  </conditionalFormatting>
  <pageMargins left="0.511811024" right="0.511811024" top="0.78740157499999996" bottom="0.78740157499999996" header="0" footer="0"/>
  <pageSetup paperSize="9" orientation="landscape"/>
  <rowBreaks count="15" manualBreakCount="15">
    <brk id="228" man="1"/>
    <brk id="310" man="1"/>
    <brk id="386" man="1"/>
    <brk id="45" man="1"/>
    <brk id="122" man="1"/>
    <brk id="201" man="1"/>
    <brk id="282" man="1"/>
    <brk id="364" man="1"/>
    <brk id="96" man="1"/>
    <brk id="19" man="1"/>
    <brk id="174" man="1"/>
    <brk id="255" man="1"/>
    <brk id="337" man="1"/>
    <brk id="70" man="1"/>
    <brk id="148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91"/>
  <sheetViews>
    <sheetView showGridLines="0" topLeftCell="A2" workbookViewId="0">
      <selection activeCell="I21" sqref="I21"/>
    </sheetView>
  </sheetViews>
  <sheetFormatPr defaultColWidth="12.6328125" defaultRowHeight="15" customHeight="1" x14ac:dyDescent="0.25"/>
  <cols>
    <col min="1" max="1" width="8.81640625" customWidth="1"/>
    <col min="2" max="2" width="25.1796875" customWidth="1"/>
    <col min="3" max="3" width="18.453125" customWidth="1"/>
    <col min="4" max="4" width="8.81640625" customWidth="1"/>
    <col min="5" max="5" width="24.81640625" customWidth="1"/>
    <col min="6" max="7" width="8.81640625" customWidth="1"/>
    <col min="8" max="8" width="3" customWidth="1"/>
    <col min="9" max="9" width="13.81640625" customWidth="1"/>
    <col min="10" max="10" width="19.1796875" customWidth="1"/>
    <col min="11" max="26" width="8.81640625" customWidth="1"/>
  </cols>
  <sheetData>
    <row r="1" spans="2:10" ht="12.75" customHeight="1" thickBot="1" x14ac:dyDescent="0.3"/>
    <row r="2" spans="2:10" ht="97" customHeight="1" x14ac:dyDescent="0.25">
      <c r="B2" s="195"/>
      <c r="C2" s="155"/>
      <c r="D2" s="155"/>
      <c r="E2" s="155"/>
      <c r="F2" s="155"/>
      <c r="G2" s="155"/>
      <c r="H2" s="196" t="s">
        <v>16</v>
      </c>
      <c r="I2" s="155"/>
      <c r="J2" s="156"/>
    </row>
    <row r="3" spans="2:10" ht="37" customHeight="1" thickBot="1" x14ac:dyDescent="0.3">
      <c r="B3" s="197"/>
      <c r="C3" s="198"/>
      <c r="D3" s="199"/>
      <c r="E3" s="198"/>
      <c r="F3" s="200" t="s">
        <v>0</v>
      </c>
      <c r="G3" s="198"/>
      <c r="H3" s="201"/>
      <c r="I3" s="198"/>
      <c r="J3" s="202"/>
    </row>
    <row r="4" spans="2:10" ht="263.25" customHeight="1" thickBot="1" x14ac:dyDescent="0.3">
      <c r="B4" s="91" t="s">
        <v>17</v>
      </c>
      <c r="C4" s="194"/>
      <c r="D4" s="152"/>
      <c r="E4" s="152"/>
      <c r="F4" s="152"/>
      <c r="G4" s="152"/>
      <c r="H4" s="152"/>
      <c r="I4" s="152"/>
      <c r="J4" s="153"/>
    </row>
    <row r="5" spans="2:10" ht="12.75" customHeight="1" x14ac:dyDescent="0.25"/>
    <row r="6" spans="2:10" ht="12.75" customHeight="1" x14ac:dyDescent="0.25"/>
    <row r="7" spans="2:10" ht="12.75" customHeight="1" x14ac:dyDescent="0.25"/>
    <row r="8" spans="2:10" ht="12.75" customHeight="1" x14ac:dyDescent="0.25"/>
    <row r="9" spans="2:10" ht="12.75" customHeight="1" x14ac:dyDescent="0.25"/>
    <row r="10" spans="2:10" ht="12.75" customHeight="1" x14ac:dyDescent="0.25"/>
    <row r="11" spans="2:10" ht="12.75" customHeight="1" x14ac:dyDescent="0.25"/>
    <row r="12" spans="2:10" ht="12.75" customHeight="1" x14ac:dyDescent="0.25"/>
    <row r="13" spans="2:10" ht="12.75" customHeight="1" x14ac:dyDescent="0.25"/>
    <row r="14" spans="2:10" ht="12.75" customHeight="1" x14ac:dyDescent="0.25"/>
    <row r="15" spans="2:10" ht="12.75" customHeight="1" x14ac:dyDescent="0.25"/>
    <row r="16" spans="2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</sheetData>
  <mergeCells count="7">
    <mergeCell ref="C4:J4"/>
    <mergeCell ref="B2:G2"/>
    <mergeCell ref="H2:J2"/>
    <mergeCell ref="B3:C3"/>
    <mergeCell ref="D3:E3"/>
    <mergeCell ref="F3:G3"/>
    <mergeCell ref="H3:J3"/>
  </mergeCells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</vt:lpstr>
      <vt:lpstr>VOUCHERS HTLS</vt:lpstr>
      <vt:lpstr>VOUCHER SERVICES</vt:lpstr>
      <vt:lpstr>EXTRAS 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Benjamim</dc:creator>
  <cp:lastModifiedBy>Daniel Serrano</cp:lastModifiedBy>
  <cp:lastPrinted>2026-02-16T18:39:33Z</cp:lastPrinted>
  <dcterms:created xsi:type="dcterms:W3CDTF">2007-03-17T19:02:31Z</dcterms:created>
  <dcterms:modified xsi:type="dcterms:W3CDTF">2026-03-24T13:52:03Z</dcterms:modified>
</cp:coreProperties>
</file>